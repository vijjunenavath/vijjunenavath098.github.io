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ijay naik\Downloads\readytosubmit\"/>
    </mc:Choice>
  </mc:AlternateContent>
  <xr:revisionPtr revIDLastSave="0" documentId="8_{965C096D-EA5D-4EE4-B72B-4E50778B6312}" xr6:coauthVersionLast="47" xr6:coauthVersionMax="47" xr10:uidLastSave="{00000000-0000-0000-0000-000000000000}"/>
  <bookViews>
    <workbookView xWindow="-110" yWindow="-110" windowWidth="19420" windowHeight="11500" tabRatio="573" firstSheet="1" activeTab="4" xr2:uid="{00000000-000D-0000-FFFF-FFFF00000000}"/>
  </bookViews>
  <sheets>
    <sheet name="Intro &amp; copyright" sheetId="1" r:id="rId1"/>
    <sheet name="Abbreviations" sheetId="5" r:id="rId2"/>
    <sheet name="Mandatory ISMS requirements" sheetId="2" r:id="rId3"/>
    <sheet name="Annex A controls" sheetId="3" r:id="rId4"/>
    <sheet name="Metrics" sheetId="4" r:id="rId5"/>
  </sheets>
  <definedNames>
    <definedName name="__xlnm._FilterDatabase_1">'Annex A controls'!$A$2:$E$165</definedName>
    <definedName name="Applicability">Metrics!$B$14:$B$16</definedName>
    <definedName name="CMM">#REF!</definedName>
    <definedName name="ControlTotal">'Annex A controls'!$D$166</definedName>
    <definedName name="Excel_BuiltIn_Print_Area" localSheetId="2">'Mandatory ISMS requirements'!$B$1:$E$58</definedName>
    <definedName name="_xlnm.Print_Area" localSheetId="2">'Mandatory ISMS requirements'!$B$1:$E$59</definedName>
    <definedName name="_xlnm.Print_Area" localSheetId="4">Metrics!$B$2:$O$36</definedName>
    <definedName name="_xlnm.Print_Titles" localSheetId="2">'Mandatory ISMS requirements'!$1:$2</definedName>
  </definedNames>
  <calcPr calcId="191029" iterateDelta="1E-4"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2" l="1"/>
  <c r="A68" i="2"/>
  <c r="A67" i="2"/>
  <c r="A66" i="2"/>
  <c r="A65" i="2"/>
  <c r="A64" i="2"/>
  <c r="A63" i="2"/>
  <c r="A62" i="2"/>
  <c r="A7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Gary@isect.com</author>
  </authors>
  <commentList>
    <comment ref="C2" authorId="0" shapeId="0" xr:uid="{00000000-0006-0000-0100-000001000000}">
      <text>
        <r>
          <rPr>
            <sz val="10"/>
            <rFont val="Arial"/>
            <family val="2"/>
          </rPr>
          <t xml:space="preserve">Gary@isect.com: The wording here paraphrases the standard: refer to the standard for the official wording and additional explanations
</t>
        </r>
      </text>
    </comment>
    <comment ref="D2" authorId="0" shapeId="0" xr:uid="{00000000-0006-0000-0100-000002000000}">
      <text>
        <r>
          <rPr>
            <sz val="10"/>
            <rFont val="Arial"/>
            <family val="2"/>
          </rPr>
          <t>Gary@isect.com: Use this column to record your progress towards implementing the ISMS.  See the metrics sheet for explanations of the levels</t>
        </r>
      </text>
    </comment>
    <comment ref="E2" authorId="0" shapeId="0" xr:uid="{00000000-0006-0000-0100-000003000000}">
      <text>
        <r>
          <rPr>
            <sz val="10"/>
            <rFont val="Arial"/>
            <family val="2"/>
          </rPr>
          <t>Gary@isect.com:
Keep notes on the process, including references to any documentation that the auditors will probably want to check</t>
        </r>
      </text>
    </comment>
  </commentList>
</comments>
</file>

<file path=xl/sharedStrings.xml><?xml version="1.0" encoding="utf-8"?>
<sst xmlns="http://schemas.openxmlformats.org/spreadsheetml/2006/main" count="603" uniqueCount="480">
  <si>
    <t>Abbreviation</t>
  </si>
  <si>
    <t>Meaning</t>
  </si>
  <si>
    <t>Notes</t>
  </si>
  <si>
    <t>ISMS</t>
  </si>
  <si>
    <t>Information Security Management System</t>
  </si>
  <si>
    <t>NorthStar's formal information security governance framework.</t>
  </si>
  <si>
    <t>SoA</t>
  </si>
  <si>
    <t>Statement of Applicability</t>
  </si>
  <si>
    <t>Records Annex A applicability decisions and control status.</t>
  </si>
  <si>
    <t>DPO</t>
  </si>
  <si>
    <t>Data Protection Officer</t>
  </si>
  <si>
    <t>Responsible for privacy governance and UK GDPR oversight.</t>
  </si>
  <si>
    <t>PII</t>
  </si>
  <si>
    <t>Personally Identifiable Information</t>
  </si>
  <si>
    <t>Customer and employee personal data in scope for privacy controls.</t>
  </si>
  <si>
    <t>POS</t>
  </si>
  <si>
    <t>Point of Sale</t>
  </si>
  <si>
    <t>In-store payment and checkout environment.</t>
  </si>
  <si>
    <t>ERP</t>
  </si>
  <si>
    <t>Enterprise Resource Planning</t>
  </si>
  <si>
    <t>Core stock, pricing, and fulfilment system.</t>
  </si>
  <si>
    <t>CRM</t>
  </si>
  <si>
    <t>Customer Relationship Management</t>
  </si>
  <si>
    <t>Customer support and relationship platform.</t>
  </si>
  <si>
    <t>MFA</t>
  </si>
  <si>
    <t>Multi-Factor Authentication</t>
  </si>
  <si>
    <t>Priority control for phishing and credential compromise.</t>
  </si>
  <si>
    <t>EDR</t>
  </si>
  <si>
    <t>Endpoint Detection and Response</t>
  </si>
  <si>
    <t>Used to detect and contain malware and ransomware.</t>
  </si>
  <si>
    <t>KPI</t>
  </si>
  <si>
    <t>Key Performance Indicator</t>
  </si>
  <si>
    <t>Used to monitor ISMS effectiveness.</t>
  </si>
  <si>
    <t>RACI</t>
  </si>
  <si>
    <t>Responsible, Accountable, Consulted, Informed</t>
  </si>
  <si>
    <t>Used to clarify control and governance ownership.</t>
  </si>
  <si>
    <t>RTO</t>
  </si>
  <si>
    <t>Recovery Time Objective</t>
  </si>
  <si>
    <t>Target restoration time for disrupted services.</t>
  </si>
  <si>
    <t>RPO</t>
  </si>
  <si>
    <t>Recovery Point Objective</t>
  </si>
  <si>
    <t>Target maximum acceptable data loss after an incident.</t>
  </si>
  <si>
    <t>SLA</t>
  </si>
  <si>
    <t>Service Level Agreement</t>
  </si>
  <si>
    <t>Used in supplier and service-performance obligations.</t>
  </si>
  <si>
    <t>DPA</t>
  </si>
  <si>
    <t>Data Processing Agreement</t>
  </si>
  <si>
    <t>Contractual privacy agreement with processors under UK GDPR.</t>
  </si>
  <si>
    <t>SMT</t>
  </si>
  <si>
    <t>Senior Management Team</t>
  </si>
  <si>
    <t>Board-level leadership and governance body for the ISMS.</t>
  </si>
  <si>
    <t>ICO</t>
  </si>
  <si>
    <t>Information Commissioner's Office</t>
  </si>
  <si>
    <t>UK regulator for data protection.</t>
  </si>
  <si>
    <t>NCSC</t>
  </si>
  <si>
    <t>National Cyber Security Centre</t>
  </si>
  <si>
    <t>UK cyber guidance and incident-support authority.</t>
  </si>
  <si>
    <t>ISO/IEC 27001:2022 ISMS Status, 
Statement of Applicability (SoA) and
Controls Status (gap analysis) workbook</t>
  </si>
  <si>
    <t>Introduction</t>
  </si>
  <si>
    <t xml:space="preserve">This spreadsheet is used to record and track the status of your organization as you implement the mandatory and discretionary elements of ISO/IEC 27001.   </t>
  </si>
  <si>
    <t>The main body of ISO/IEC 27001 formally specifies a number of mandatory requirements that must be fulfilled in order for an Information Security Management System (ISMS) to be certified compliant with the standard.   All the mandatory requirements for certification concern the management system rather than the information security controls.  For example, the standard requires management to determine the organization's information security risks, assess them, decide how those risks are to be treated, treat them and monitor them, using the policies and procedures defined in the ISMS.  It does not mandate specific security controls.</t>
  </si>
  <si>
    <t xml:space="preserve">However, Annex A to '27001 outlines a suite of information security controls that the management system would typically be used to manage, provided they are in fact applicable to the organization (which depends on its information security risks).  The security controls in Annex A are explained in much more detail in ISO/IEC 27002, and in various other standards, laws, regulations etc.  </t>
  </si>
  <si>
    <t>Instructions</t>
  </si>
  <si>
    <t>1.  Design and implement an ISMS complying with all the mandatory elements specified in the main body of ISO/IEC 27001, using the drop-down selectors on the status column of the mandatory ISMS requirements sheet to track and record its status.</t>
  </si>
  <si>
    <t>2.  Identify and assess the information security risks facing those parts of the organization that are declared in scope for your ISMS, identifying any Annex A controls that are not applicable using the drop-down selectors in the status column of the annex A controls sheet.  Note: do not feel constrained by Annex A!  Adapt the sheet, modifying the wording and adding additional rows if you determine that other security controls are needed to treat your information security risks and obligations (e.g. ISO 22301, privacy laws, PCI-DSS etc.).  Annex A is merely a guide, a starting point.</t>
  </si>
  <si>
    <t>3.  Systematically check and record the status of your security risks and controls, updating the status column of Annex A sheet accordingly.</t>
  </si>
  <si>
    <t xml:space="preserve">4.  Once your ISMS is operating normally, the metrics are looking good and you have amassed sufficient evidence ("records"), it can be formally audited for compliance with '27001 by an accredited certification body.  They will check that your ISMS  fulfills the standard's mandatory requirements, and that your in-scope information security risks are being identified, treated and monitored according to the ISMS policies and procedures.  Thereafter, the spreadsheet should both be maintained i.e. updated when the information security risks or controls change, and periodically reviewed/audited.  </t>
  </si>
  <si>
    <t>History and acknowledgements</t>
  </si>
  <si>
    <t>Bala Ramanan donated the original ISO/IEC 27001:2005 version of the 27001 requirements worksheet.   Joel Cort added the SoA worksheet.  Gary Hinson hacked it about for publication in the ISO27k Toolkit</t>
  </si>
  <si>
    <t>Ed Hodgson updated the workbook for ISO/IEC 27001:2022.  Gary Hinson fiddled with the wording and formatting, splitting out the metrics and creating a simpler, generic version for the ISO27k Toolkit.</t>
  </si>
  <si>
    <t>Copyright</t>
  </si>
  <si>
    <t>This work is copyright © 2014,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any derivative works that are shared with third parties are subject the same copyright terms as this.</t>
  </si>
  <si>
    <t xml:space="preserve">Note: you need licensed copies of both ISO/IEC 27001 and 27002 to make much sense of this, and other ISO27k standards are also highly recommended.  This workbook alone is not sufficient!  In particular, we have paraphrased and shortened the wording of the standards in ways that may not entirely fulfill their meaning or intent.  The definitive references are the ISO27k standards, not this workbook. </t>
  </si>
  <si>
    <t>Please visit ISO27001security.com for further advice and guidance on the ISO27k standards, including the ISO27k Forum and many other useful documents and templates in the ISO27k Toolkit:</t>
  </si>
  <si>
    <t>www.ISO27001security.com</t>
  </si>
  <si>
    <t>NorthStar Retail Ltd — Status of ISO/IEC 27001 implementation</t>
  </si>
  <si>
    <t>Section</t>
  </si>
  <si>
    <t>ISO/IEC 27001 requirement</t>
  </si>
  <si>
    <t>Status</t>
  </si>
  <si>
    <t>Context of the organisation</t>
  </si>
  <si>
    <t>Organisational context</t>
  </si>
  <si>
    <t>Determine the organization's ISMS objectives and any issues that might affect its effectiveness</t>
  </si>
  <si>
    <t>Defined</t>
  </si>
  <si>
    <t>NorthStar Retail Ltd is a UK-only omnichannel retailer operating 8 stores, a warehouse, a head office, an e-commerce website, and a mobile app. The organisation depends heavily on digital systems, third-party providers, customer trust, and uninterrupted trading. Internal issues relevant to the ISMS include governance, staffing capability, system maturity, cloud and SaaS dependence, and reliance on accurate stock, pricing, and fulfilment data. External issues include applicable UK laws, supplier assurance requirements, evolving cyber threats, customer expectations, and disruption to payment or logistics services.</t>
  </si>
  <si>
    <t>Interested parties</t>
  </si>
  <si>
    <t>4.2 (a)</t>
  </si>
  <si>
    <t>Identify interested parties including applicable laws, regulations, contracts etc.</t>
  </si>
  <si>
    <t>Managed</t>
  </si>
  <si>
    <t>Applicable laws and obligations identified for the ISMS include UK GDPR, the Data Protection Act 2018, PECR, and PCI DSS. Key interested parties are customers, the Board and senior management, employees, key third-party processors and suppliers, regulators such as the ICO, and payment/acquiring partners. NorthStar operates only in the UK, so EU-only laws are outside scope unless future operations change.</t>
  </si>
  <si>
    <t>4.2 (b)</t>
  </si>
  <si>
    <t>Determine their information security-relevant requirements and obligations</t>
  </si>
  <si>
    <t>NorthStar must meet the following information security-relevant expectations: customers require secure transactions, privacy, and service continuity; the Board requires risk visibility, governance, and resilience; employees require clear policies, training, and reporting routes; suppliers and processors require security clauses and defined responsibilities; regulators and payment stakeholders require lawful processing, breach handling, evidence retention, and control over payment environments.</t>
  </si>
  <si>
    <t>ISMS scope</t>
  </si>
  <si>
    <t>Determine and document the ISMS scope</t>
  </si>
  <si>
    <t>The ISMS scope covers the people, processes, information, and technology supporting NorthStar Retail Ltd's UK retail operations, including head office, 8 stores, warehouse and fulfilment, e-commerce, mobile app, payment environment, cloud services, endpoints, networks, and relevant third-party processors. Exclusions are landlord building maintenance, non-production marketing microsites holding no sensitive data, H&amp;S risks unrelated to information security, and non-UK activities.</t>
  </si>
  <si>
    <t xml:space="preserve"> ISMS</t>
  </si>
  <si>
    <t>Establish, implement, maintain and continually improve an ISMS according to the standard!</t>
  </si>
  <si>
    <t>NorthStar will establish, implement, maintain, and continually improve its ISMS through a phased rollout, documented ownership, risk-based treatment plans, internal audit, management review, and periodic updates to the Risk Register, SoA, and supporting policies. Changes arising from incidents, new suppliers, major system changes, or audit findings will be documented and fed back into the ISMS improvement cycle.</t>
  </si>
  <si>
    <t>Leadership</t>
  </si>
  <si>
    <t>Leadership &amp; commitment</t>
  </si>
  <si>
    <t>Top management must demonstrate leadership &amp; commitment to the ISMS</t>
  </si>
  <si>
    <t xml:space="preserve">Commitment of Top Management
Top management of NorthStar Retail Ltd will demonstrate its leadership and commitment to the ISMS through the following actions and behaviours, in accordance with ISO/IEC 27001:2022, Clause 5.1:
•	Establishing, approving, and communicating the Information Security Policy (see Section 5.2), reflecting NorthStar's business objectives, risk appetite, and compliance obligations (including UK GDPR and PCI-DSS).
•	Ensuring that the information security objectives are established at relevant functions and levels across the organisation — including e-commerce, store operations, the fulfilment centre, and head office.
•	Integrating ISMS requirements into NorthStar's business processes, including supplier onboarding, system procurement, and change management.
•	Ensuring that resources required for the ISMS — including budget, personnel, tooling, and training — are made available and sustained.
•	Communicating the importance of effective information security management to all staff, making clear that security is a business responsibility, not solely an IT function.
•	Motivating and empowering employees across all functions to contribute to the effectiveness of the ISMS, including raising concerns, reporting incidents, and participating in awareness training.
•	Reinforcing organisational accountability for information security results through performance monitoring, management review, and appropriate escalation of risks and incidents.
•	Supporting a culture of continuous improvement in information security by reviewing ISMS performance at least annually, actioning findings from audits and risk assessments, and acting on lessons learned from incidents.
•	Directing and overseeing the work of the IT Manager as Security Officer, ensuring alignment between ISMS activities and NorthStar's strategic objectives.
</t>
  </si>
  <si>
    <t>Policy</t>
  </si>
  <si>
    <t>Document the information security policy</t>
  </si>
  <si>
    <t>Top management has established an Information Security Policy aligned to NorthStar's business objectives, risk profile, and legal obligations. The policy is version-controlled in SharePoint, approved by the CEO, communicated to staff at onboarding and annually thereafter, and reviewed at least annually or following significant change. It commits NorthStar to protecting confidentiality, integrity, and availability, meeting legal and contractual obligations, and continually improving the ISMS.</t>
  </si>
  <si>
    <t>Organizational roles, responsibilities &amp; authorities</t>
  </si>
  <si>
    <t>Assign and communicate information security roles &amp; responsibilities</t>
  </si>
  <si>
    <t>Security Officer — IT Manager
The IT Manager has been designated as the Security Officer and is the primary responsible party for the ISMS:
•	The design, development, maintenance, dissemination, and enforcement of all ISMS policies and associated procedures.
•	Ensuring that the information security management system conforms to the requirements of ISO/IEC 27001 2022 (Clause 5.2c and Clause 5.3a).
•	Reporting on the performance of the information security programme to top management (CEO and SMT), identifying trends, incidents, risks, and areas for continuous improvement (Clause 5.2d and Clause 5.3b).
•	Coordinating with the Compliance Manager / DPO on matters that intersect with UK GDPR, PCI-DSS, and other regulatory frameworks.
•	Managing the risk register and ensuring that risk treatment actions are tracked and completed.
•	Overseeing the internal audit programme and coordinating management review meetings.</t>
  </si>
  <si>
    <t>Planning</t>
  </si>
  <si>
    <t>Actions to address risks &amp; opportunities</t>
  </si>
  <si>
    <t>6.1.1</t>
  </si>
  <si>
    <t>Design/plan the ISMS to satisfy the requirements, addressing risks &amp; opportunities</t>
  </si>
  <si>
    <t>The ISMS is designed to address the highest-priority NorthStar risks identified in the final risk register, including phishing and credential compromise, ransomware and business interruption, delayed detection and response, cloud or SaaS data exposure, payment environment compromise, and third-party compromise or outage.</t>
  </si>
  <si>
    <t>6.1.2</t>
  </si>
  <si>
    <t>Define and apply an information security risk assessment process</t>
  </si>
  <si>
    <t>NorthStar uses a 5x5 qualitative likelihood-impact matrix aligned to ISO/IEC 27001:2022 risk assessment. Inherent risk is assessed before treatment, and treated residual risk is assessed after planned controls are applied. Impact is judged using business criteria rather than technical severity alone: revenue, operational continuity, customer trust, and compliance.</t>
  </si>
  <si>
    <t>6.1.3</t>
  </si>
  <si>
    <t xml:space="preserve">Document and apply an information security risk treatment process </t>
  </si>
  <si>
    <t>NorthStar's treatment options are Mitigate, Transfer, Accept, and Avoid. The current treatment programme is risk-prioritised: prevention controls focus on identity and access, endpoint resilience, and supplier/data governance, while response and recovery controls focus on logging, incident response, and backup and recovery. Risk treatment owners and due dates are tracked in the final risk register.</t>
  </si>
  <si>
    <t>Information security objectives &amp; plans</t>
  </si>
  <si>
    <t xml:space="preserve">Establish and document the information security objectives and plans </t>
  </si>
  <si>
    <t>ISMS objectives for Year 1 are to reduce exposure from the three critical risks, complete the final SoA and policy set, improve MFA and access-control coverage, establish tested backup and recovery capability, strengthen supplier assurance, and formalise incident reporting and escalation. Progress will be tracked through the risk register, SoA, management review, and documented evidence in SharePoint.</t>
  </si>
  <si>
    <t>Support</t>
  </si>
  <si>
    <t>Resources</t>
  </si>
  <si>
    <t>Determine and allocate necessary resources for the ISMS</t>
  </si>
  <si>
    <t>IT Manager and Compliance/DPO identified as ISMS leads. Dedicated budget line for Year 1 will need to be confirmed at an SMT meeting. External IT support engaged for technical controls.</t>
  </si>
  <si>
    <t>Competence</t>
  </si>
  <si>
    <t xml:space="preserve">Determine, document and make available necessary competences </t>
  </si>
  <si>
    <t>Competence gap analysis to be completed Q3. Key roles (IT Manager, DPO, Store Managers) mapped to ISMS responsibilities. External ISO 27001 Lead Implementer training planned for IT Manager.</t>
  </si>
  <si>
    <t>Awareness</t>
  </si>
  <si>
    <t>Establish a security awareness program</t>
  </si>
  <si>
    <t>Retail-tailored awareness programme to be designed (not generic IT content). Priority topics: phishing, acceptable use, PII handling, incident reporting. Anti-phishing simulation exercises planned. All-staff launch targeted for Q4.</t>
  </si>
  <si>
    <t>Communication</t>
  </si>
  <si>
    <t>Determine the need for internal and external communications relevant to the ISMS</t>
  </si>
  <si>
    <t>A communications plan will cover internal communications such as staff policies, training, incident escalation, and management reporting, and external communications such as supplier security requirements, customer breach notification where required, and regulatory contact with the ICO, NCSC, or payment stakeholders. Standard templates will be maintained for consistent communication during incidents or reviews.</t>
  </si>
  <si>
    <t>Documented information</t>
  </si>
  <si>
    <t>7.5.1</t>
  </si>
  <si>
    <t>Provide documentation required by the standard plus that required by the organization</t>
  </si>
  <si>
    <t>ISMS scope statement, final risk register (R-01 to R-12), final SoA, and core policy suite are maintained as controlled documents in SharePoint. Key policies include Information Security Policy, Acceptable Use, Access Control, Incident Response, backup, and change management.</t>
  </si>
  <si>
    <t>7.5.2</t>
  </si>
  <si>
    <t>Provide document titles, authors etc., format them consistently, and review &amp; approve them</t>
  </si>
  <si>
    <t>Document control standards define title, version, owner, approver, and review date for each ISMS document. The IT Manager maintains authorship and version control, while the Compliance/DPO role supports review and approval where privacy or regulatory obligations are involved. Documents are reviewed at least annually or on significant change.</t>
  </si>
  <si>
    <t>7.5.3</t>
  </si>
  <si>
    <t>Control the documentation properly</t>
  </si>
  <si>
    <t>SharePoint (M365) to be used as the controlled ISMS document repository. Versioning enabled; access restricted to relevant role groups. Obsolete versions to be archived. Document register to be maintained by IT Manager.</t>
  </si>
  <si>
    <t>Operation</t>
  </si>
  <si>
    <t>Operational planning and control</t>
  </si>
  <si>
    <t>Plan, implement, control &amp; document ISMS processes to manage risks (i.e. a risk treatment plan)</t>
  </si>
  <si>
    <t>NorthStar's risk treatment plan is linked directly to the final risk register. Phase 1 priorities are MFA and access-control improvements, phishing resilience, backup assurance, and core incident-management preparation. Highest-priority risks for immediate attention are R-01, R-02, and R-12.</t>
  </si>
  <si>
    <t>Information security risk assessment</t>
  </si>
  <si>
    <t xml:space="preserve">(Re)assess &amp; document information security risks regularly &amp; on changes </t>
  </si>
  <si>
    <t>The initial risk assessment has identified 12 risks, R-01 to R-12, using the agreed 5x5 qualitative methodology. Critical risks are reviewed monthly during rollout, while the full register is reviewed quarterly or on significant change such as major incidents, supplier changes, or system migrations. The risk register is owned by the Risk Lead and reviewed by the IT Manager and DPO.</t>
  </si>
  <si>
    <t>Information security risk treatment</t>
  </si>
  <si>
    <t>Implement the risk treatment plan (treat the risks!) and document the results</t>
  </si>
  <si>
    <t>Risk treatment decisions are documented using the agreed taxonomy: Mitigate, Transfer, Accept, and Avoid. Current priorities include MFA and conditional access for R-01, ransomware resilience and backup testing for R-02 and R-09, supplier assurance for R-07, payment-environment controls for R-05, and central logging and escalation for R-12. Residual risk positions are reviewed and approved by accountable owners.</t>
  </si>
  <si>
    <t>Performance evaluation</t>
  </si>
  <si>
    <t>Monitoring, measurement, analysis and evaluation</t>
  </si>
  <si>
    <t>Monitor, measure, analyze and evaluate the ISMS and the controls</t>
  </si>
  <si>
    <t>NorthStar will monitor ISMS performance through practical KPIs including awareness completion, phishing exercise results, patch compliance, backup success and restore testing, incident reporting volumes, and time to contain significant incidents. Central logging across Microsoft 365, endpoints, cloud services, and key business systems will provide management evidence for quarterly review.</t>
  </si>
  <si>
    <t>Internal audit</t>
  </si>
  <si>
    <t>Plan &amp; conduct internal audits of the ISMS</t>
  </si>
  <si>
    <t>First internal audit scheduled for 6 months post-implementation. Audit programme to cover all clauses and Annex A controls in SoA. IT Manager to coordinate; external ISO 27001 consultant to conduct initial audit given current internal maturity. Findings to feed into management review.</t>
  </si>
  <si>
    <t>Management review</t>
  </si>
  <si>
    <t>Undertake regular management reviews of the ISMS</t>
  </si>
  <si>
    <t>Management reviews will take place at least twice yearly and will consider audit findings, risk-register status, SoA changes, incident trends, KPI performance, supplier issues, legal or contractual changes, and resource needs. Minutes and actions will be retained as ISMS evidence, with escalation to the Board where material issues remain unresolved.</t>
  </si>
  <si>
    <t>Improvement</t>
  </si>
  <si>
    <t>Nonconformity and corrective action</t>
  </si>
  <si>
    <t>Identify, fix and take action to prevent recurrence of nonconformities, documenting the actions</t>
  </si>
  <si>
    <t>Nonconformities such as missing evidence, overdue reviews, control failures, or policy breaches will be documented, investigated, and tracked to closure. Corrective actions will be assigned owners and due dates, with follow-up through management review and internal audit to reduce recurrence.</t>
  </si>
  <si>
    <t>Continual improvement</t>
  </si>
  <si>
    <t>Continually improve the ISMS</t>
  </si>
  <si>
    <t>NorthStar will continually improve the ISMS through audit findings, management review, incident lessons learned, supplier reviews, legal changes, and periodic reassessment of risk. Changes to policies, SoA decisions, control ownership, or treatment plans will be documented and version-controlled so the ISMS remains current and defensible.</t>
  </si>
  <si>
    <t>Annex A Controls Status — ISO/IEC 27001:2022  |  NorthStar Retail Ltd</t>
  </si>
  <si>
    <t>Status scale: Not Applicable | Initial | Limited | Defined | Managed | Optimized | ? Unknown</t>
  </si>
  <si>
    <t>Ref</t>
  </si>
  <si>
    <t>Control Name</t>
  </si>
  <si>
    <t>Notes / Justification</t>
  </si>
  <si>
    <t>5  —  Organisational Controls</t>
  </si>
  <si>
    <t>5.1</t>
  </si>
  <si>
    <t>Policies for information security</t>
  </si>
  <si>
    <t>NorthStar IS policy drafted covering confidentiality, integrity, and availability. Policy to be approved by CEO and communicated to all staff at onboarding. Annual review cycle established. Directly addresses governance baseline required for all ISMS controls.</t>
  </si>
  <si>
    <t>5.2</t>
  </si>
  <si>
    <t>Information security roles and responsibilities</t>
  </si>
  <si>
    <t>IT Manager designated as Security Officer. DPO/Compliance Lead assigned for UK GDPR and PCI DSS matters. Store Managers, Warehouse Manager, and HR Manager assigned supporting IS responsibilities. RACI to be formally documented.</t>
  </si>
  <si>
    <t>5.3</t>
  </si>
  <si>
    <t>Segregation of duties</t>
  </si>
  <si>
    <t>Limited</t>
  </si>
  <si>
    <t>Basic separation exists in finance approval processes. Formal segregation policy not yet implemented. Priority for refund approval, payroll changes, and admin access workflows — directly mitigates insider misuse risk (R-06).</t>
  </si>
  <si>
    <t>5.4</t>
  </si>
  <si>
    <t>Management responsibilities</t>
  </si>
  <si>
    <t>CEO and SMT committed to ISMS governance per Clause 5.1. Management responsibilities documented in IS policy. Annual management review planned. Board-level sponsorship confirmed.</t>
  </si>
  <si>
    <t>5.5</t>
  </si>
  <si>
    <t>Contact with authorities</t>
  </si>
  <si>
    <t>ICO identified as primary regulatory authority for UK GDPR. NCSC and Action Fraud identified for cyber incident reporting. Contacts to be embedded in Incident Response Plan. PCI DSS acquirer contact documented.</t>
  </si>
  <si>
    <t>5.6</t>
  </si>
  <si>
    <t>Contact with special interest groups</t>
  </si>
  <si>
    <t>IT Manager to monitor NCSC alerts and CISP threat intelligence. Membership of relevant IS forums under consideration. Deferred to Phase 2 implementation.</t>
  </si>
  <si>
    <t>5.7</t>
  </si>
  <si>
    <t>Threat intelligence</t>
  </si>
  <si>
    <t>Initial</t>
  </si>
  <si>
    <t>Freelancers have been called in to assist with a formal threat intelligence programme. NCSC Early Warning Service registration planned. Threat feeds to be integrated into central logging once SIEM deployed.</t>
  </si>
  <si>
    <t>5.8</t>
  </si>
  <si>
    <t>Information security in project management</t>
  </si>
  <si>
    <t>ISMS requirements to be embedded in all system procurement and change management processes. Security review checkpoint added to project initiation checklist.</t>
  </si>
  <si>
    <t>5.9</t>
  </si>
  <si>
    <t>Inventory of information and other associated assets</t>
  </si>
  <si>
    <t>Partial asset inventory exists for hardware. Full inventory covering software, cloud services, and data stores in progress. Asset owners to be assigned per asset class. Required foundation for risk-based control targeting.</t>
  </si>
  <si>
    <t>5.10</t>
  </si>
  <si>
    <t>Acceptable use of information and other associated assets</t>
  </si>
  <si>
    <t>Acceptable Use Policy drafted covering endpoints, email, internet access, and data handling. To be communicated at onboarding and annually thereafter.</t>
  </si>
  <si>
    <t>5.11</t>
  </si>
  <si>
    <t>Return of assets</t>
  </si>
  <si>
    <t>Exit checklist requires return of all devices, access cards, and credentials on departure. Formal process to be embedded in HR offboarding workflow.</t>
  </si>
  <si>
    <t>5.12</t>
  </si>
  <si>
    <t>Classification of information</t>
  </si>
  <si>
    <t>Data classification scheme to be developed: Public, Internal, Confidential, Restricted. Customer PII and payment data to be classified Restricted. Required for UK GDPR data minimisation obligations.</t>
  </si>
  <si>
    <t>5.13</t>
  </si>
  <si>
    <t>Labelling of information</t>
  </si>
  <si>
    <t>Dependent on classification scheme (5.12). Labelling procedures to be defined once classification complete. M365 sensitivity labels under evaluation.</t>
  </si>
  <si>
    <t>5.14</t>
  </si>
  <si>
    <t>Information transfer</t>
  </si>
  <si>
    <t>Supplier data transfer agreements (DPAs) in place with key processors. Secure transfer requirements to be embedded in all third-party contracts. Email encryption enforced for sensitive data transmission.</t>
  </si>
  <si>
    <t>5.15</t>
  </si>
  <si>
    <t>Access control</t>
  </si>
  <si>
    <t>RBAC implemented across M365. Access control policy drafted. Least-privilege principle adopted. JML process being formalised. Directly addresses R-01 and R-06.</t>
  </si>
  <si>
    <t>5.16</t>
  </si>
  <si>
    <t>Identity management</t>
  </si>
  <si>
    <t>Identity lifecycle managed via M365 Azure AD. JML process being documented. Stale account review scheduled quarterly. Automated deprovisioning on departure to be implemented.</t>
  </si>
  <si>
    <t>5.17</t>
  </si>
  <si>
    <t>Authentication information</t>
  </si>
  <si>
    <t>MFA enforced for M365 and cloud admin accounts. DMARC/SPF/DKIM configured. Phishing-resistant MFA (FIDO2) planned for privileged accounts. Password policy enforced via Azure AD.</t>
  </si>
  <si>
    <t>5.18</t>
  </si>
  <si>
    <t>Access rights</t>
  </si>
  <si>
    <t>Access rights provisioned via formal request process. Quarterly access reviews planned. Removal within 30 days of leaver confirmed as policy requirement.</t>
  </si>
  <si>
    <t>5.19</t>
  </si>
  <si>
    <t>Information security in supplier relationships</t>
  </si>
  <si>
    <t>Supplier security assessment process being developed. Security requirements to be included in all new supplier contracts. Tier 1 suppliers (payment gateway, payroll, cloud hosting) prioritised for review.</t>
  </si>
  <si>
    <t>5.20</t>
  </si>
  <si>
    <t>Addressing information security within supplier agreements</t>
  </si>
  <si>
    <t>DPIAs in place with all personal data processors. Security clauses, breach notification SLAs, and right-to-audit requirements to be included in all supplier contracts.</t>
  </si>
  <si>
    <t>5.21</t>
  </si>
  <si>
    <t>Managing information security in the ICT supply chain</t>
  </si>
  <si>
    <t>ICT supply chain risk assessment in progress. Payment gateway and cloud hosting providers reviewed. Logistics and payroll providers to be assessed in Phase 2.</t>
  </si>
  <si>
    <t>5.22</t>
  </si>
  <si>
    <t>Monitoring, review and change management of supplier services</t>
  </si>
  <si>
    <t>Annual supplier assurance reviews planned for Tier 1 suppliers. Material change notification requirement included in contracts. Quarterly SLA review meetings scheduled.</t>
  </si>
  <si>
    <t>5.23</t>
  </si>
  <si>
    <t>Information security for use of cloud services</t>
  </si>
  <si>
    <t>Approved cloud services list being compiled. Secure configuration baselines (CIS Benchmarks) to be applied. Cloud security posture monitoring under evaluation. Directly addresses R-04.</t>
  </si>
  <si>
    <t>5.24</t>
  </si>
  <si>
    <t>Information security incident management planning and preparation</t>
  </si>
  <si>
    <t>Incident Response Plan being drafted. IR roles, escalation paths, and communication templates under development. Tabletop exercise planned for 6 months post-implementation. Addresses R-01, R-02, R-12.</t>
  </si>
  <si>
    <t>5.25</t>
  </si>
  <si>
    <t>Assessment and decision on information security events</t>
  </si>
  <si>
    <t>Event triage criteria to be defined in IR Plan. Threshold for ICO notification (72 hours) to be embedded in incident handling procedures.</t>
  </si>
  <si>
    <t>5.26</t>
  </si>
  <si>
    <t>Response to information security incidents</t>
  </si>
  <si>
    <t>IR procedures being developed per incident type (ransomware, data breach, DDoS, payment). Containment and recovery steps to be documented. IR team assigned.</t>
  </si>
  <si>
    <t>5.27</t>
  </si>
  <si>
    <t>Learning from information security incidents</t>
  </si>
  <si>
    <t>Post-incident review process to be included in IR Plan. Lessons learned to be reported to SMT and fed into ISMS improvement cycle.</t>
  </si>
  <si>
    <t>5.28</t>
  </si>
  <si>
    <t>Collection of evidence</t>
  </si>
  <si>
    <t>Evidence collection procedures to be defined. Log retention policy (minimum 12 months) being implemented. Chain of custody process to be documented.</t>
  </si>
  <si>
    <t>5.29</t>
  </si>
  <si>
    <t>Information security during disruption</t>
  </si>
  <si>
    <t>BCP covering e-commerce, POS, and warehouse systems being developed. RTO/RPO targets to be defined per critical system. Annual BCP test planned.</t>
  </si>
  <si>
    <t>5.30</t>
  </si>
  <si>
    <t>ICT readiness for business continuity</t>
  </si>
  <si>
    <t>3-2-1 backup strategy implemented with immutable copies. Monthly restore testing scheduled. ICT continuity requirements aligned to BCP. Addresses R-09.</t>
  </si>
  <si>
    <t>5.31</t>
  </si>
  <si>
    <t>Legal, statutory, regulatory and contractual requirements</t>
  </si>
  <si>
    <t>UK GDPR, DPA 2018, PCI DSS, and PECR identified as applicable. Legal obligations register being maintained. DPO assigned for UK GDPR accountability. Compliance review annual.</t>
  </si>
  <si>
    <t>5.32</t>
  </si>
  <si>
    <t>Intellectual property rights</t>
  </si>
  <si>
    <t>Not Applicable</t>
  </si>
  <si>
    <t>EXCLUDED — NorthStar is a retail business and does not develop or publish proprietary software or creative content. IPR risks managed via standard commercial licensing agreements.</t>
  </si>
  <si>
    <t>5.33</t>
  </si>
  <si>
    <t>Protection of records</t>
  </si>
  <si>
    <t>Document retention policy being drafted. ISMS records (audit logs, management review minutes, risk register) to be retained per UK GDPR requirements. SharePoint M365 used as controlled repository.</t>
  </si>
  <si>
    <t>5.34</t>
  </si>
  <si>
    <t>Privacy and protection of PII</t>
  </si>
  <si>
    <t>DPO appointed. ROPA being maintained. DPIAs conducted for high-risk processing activities. Data minimisation and retention schedules implemented. UK GDPR Article 32 technical measures in place.</t>
  </si>
  <si>
    <t>5.35</t>
  </si>
  <si>
    <t>Independent review of information security</t>
  </si>
  <si>
    <t>First independent ISMS audit planned for 6 months post-implementation. External ISO 27001 consultant engaged. Findings to feed into management review and SoA update.</t>
  </si>
  <si>
    <t>5.36</t>
  </si>
  <si>
    <t>Compliance with policies, rules and standards for information security</t>
  </si>
  <si>
    <t>Compliance with IS policy reviewed annually. Non-compliance escalation process defined. Audit findings tracked to closure by IT Manager.</t>
  </si>
  <si>
    <t>5.37</t>
  </si>
  <si>
    <t>Documented operating procedures</t>
  </si>
  <si>
    <t>Operating procedures being documented for: backup, patch management, access provisioning, incident escalation, and change management. SharePoint to be used as controlled document repository.</t>
  </si>
  <si>
    <t>6  —  People Controls</t>
  </si>
  <si>
    <t>6.1</t>
  </si>
  <si>
    <t>Screening</t>
  </si>
  <si>
    <t>Pre-employment checks in place for finance and IT roles (DBS where required). Reference checks conducted for all staff. Proportionate to role sensitivity and data access. Addresses insider risk (R-06).</t>
  </si>
  <si>
    <t>6.2</t>
  </si>
  <si>
    <t>Terms and conditions of employment</t>
  </si>
  <si>
    <t>Employment contracts include confidentiality obligations and acceptable use requirements. IS responsibilities to be explicitly referenced in updated contract templates.</t>
  </si>
  <si>
    <t>6.3</t>
  </si>
  <si>
    <t>Information security awareness, education and training</t>
  </si>
  <si>
    <t>Retail-tailored IS awareness programme being designed. Priority topics: phishing, PII handling, acceptable use, incident reporting. Simulated phishing exercises planned quarterly. All-staff launch Q4. Directly addresses R-01.</t>
  </si>
  <si>
    <t>6.4</t>
  </si>
  <si>
    <t>Disciplinary process</t>
  </si>
  <si>
    <t>Formal disciplinary process exists via HR. IS policy violations to be included as grounds for disciplinary action. Process communicated to staff at onboarding.</t>
  </si>
  <si>
    <t>6.5</t>
  </si>
  <si>
    <t>Responsibilities after termination or change of employment</t>
  </si>
  <si>
    <t>Exit checklist covers: access revocation within 24 hours, device return, reminder of confidentiality obligations. HR and IT Manager jointly responsible for offboarding.</t>
  </si>
  <si>
    <t>6.6</t>
  </si>
  <si>
    <t>Confidentiality or non-disclosure agreements</t>
  </si>
  <si>
    <t>NDAs in place for IT contractors and third-party support staff. Confidentiality terms embedded in employment contracts. Supplier DPAs include confidentiality obligations.</t>
  </si>
  <si>
    <t>6.7</t>
  </si>
  <si>
    <t>Remote working</t>
  </si>
  <si>
    <t>Remote access policy being documented. MFA and VPN required for all remote system access. Encrypted devices mandatory. Public Wi-Fi prohibited without VPN. Addresses R-01 and R-08.</t>
  </si>
  <si>
    <t>6.8</t>
  </si>
  <si>
    <t>Information security event reporting</t>
  </si>
  <si>
    <t>Single reporting contact (IT Manager email + phone) published for security events. All staff trained to report phishing, suspicious access, or lost devices within 1 hour. No-blame reporting culture embedded in policy.</t>
  </si>
  <si>
    <t>7  —  Physical Controls</t>
  </si>
  <si>
    <t>7.1</t>
  </si>
  <si>
    <t>Physical security perimeters</t>
  </si>
  <si>
    <t>Secure areas defined: server rooms, finance offices, stock rooms, head office server infrastructure. Perimeter controls (coded locks, key fobs) in place at head office and warehouse.</t>
  </si>
  <si>
    <t>7.2</t>
  </si>
  <si>
    <t>Physical entry controls</t>
  </si>
  <si>
    <t>Key fob and coded entry operational at all secure areas. Visitor log maintained at head office and warehouse. CCTV at entry points. Access rights reviewed on staff change.</t>
  </si>
  <si>
    <t>7.3</t>
  </si>
  <si>
    <t>Securing offices, rooms and facilities</t>
  </si>
  <si>
    <t>Server rooms secured with restricted access. Finance and HR offices require authorised entry. Sensitive documents stored in locked cabinets. Clean desk policy to be formalised.</t>
  </si>
  <si>
    <t>7.4</t>
  </si>
  <si>
    <t>Physical security monitoring</t>
  </si>
  <si>
    <t>CCTV operational across stores, warehouse, and head office. Access logs retained for 90 days. Alerts configured for unauthorised access attempts. Review triggered on security incident.</t>
  </si>
  <si>
    <t>7.5</t>
  </si>
  <si>
    <t>Protecting against physical and environmental threats</t>
  </si>
  <si>
    <t>Fire suppression and UPS systems present at head office and warehouse. Store-level environmental controls managed by landlords. Supplier agreements cover data centre environmental protection.</t>
  </si>
  <si>
    <t>7.6</t>
  </si>
  <si>
    <t>Working in secure areas</t>
  </si>
  <si>
    <t>Secure area working rules being documented. Prohibition on unescorted visitors in server rooms and finance offices. Clean desk and clear screen requirements being formalised.</t>
  </si>
  <si>
    <t>7.7</t>
  </si>
  <si>
    <t>Clear desk and clear screen</t>
  </si>
  <si>
    <t>Clear desk policy being formalised for all staff. Screen lock enforcement via Group Policy (5-minute timeout). Sensitive documents to be locked away when unattended.</t>
  </si>
  <si>
    <t>7.8</t>
  </si>
  <si>
    <t>Equipment siting and protection</t>
  </si>
  <si>
    <t>Servers sited in locked, access-controlled rooms. POS terminals secured to counters. Laptop tracking via MDM. Equipment siting review to be conducted annually.</t>
  </si>
  <si>
    <t>7.9</t>
  </si>
  <si>
    <t>Security of assets off-premises</t>
  </si>
  <si>
    <t>Off-premises device policy drafted: full-disk encryption mandatory, screen lock required, remote wipe capability confirmed. Addresses R-08 (device loss/theft).</t>
  </si>
  <si>
    <t>7.10</t>
  </si>
  <si>
    <t>Storage media</t>
  </si>
  <si>
    <t>USB use restricted on managed devices via Group Policy. Removable media policy being formalised. Secure disposal procedure for decommissioned storage media being documented.</t>
  </si>
  <si>
    <t>7.11</t>
  </si>
  <si>
    <t>Supporting utilities</t>
  </si>
  <si>
    <t>EXCLUDED — Physical utility infrastructure (power, cooling) at retail store sites is managed by landlords. Data centre utilities managed by cloud/hosting providers under supplier agreements (5.19/5.22).</t>
  </si>
  <si>
    <t>7.12</t>
  </si>
  <si>
    <t>Cabling security</t>
  </si>
  <si>
    <t>Network cabling in server rooms is managed and labelled. Store cabling inspected during fit-out. Patch panel documentation to be completed.</t>
  </si>
  <si>
    <t>7.13</t>
  </si>
  <si>
    <t>Equipment maintenance</t>
  </si>
  <si>
    <t>Preventive maintenance schedule for servers and network equipment being established. POS terminal maintenance managed by supplier under SLA. Maintenance records to be retained.</t>
  </si>
  <si>
    <t>7.14</t>
  </si>
  <si>
    <t>Secure disposal or re-use of equipment</t>
  </si>
  <si>
    <t>Secure wipe procedure (NIST 800-88 compliant) to be implemented for decommissioned devices. Certificates of destruction required from disposal providers.</t>
  </si>
  <si>
    <t>8  —  Technological Controls</t>
  </si>
  <si>
    <t>8.1</t>
  </si>
  <si>
    <t>User end point devices</t>
  </si>
  <si>
    <t>MDM being deployed across all managed devices. Full-disk encryption mandatory. Remote wipe operational. Conditional access blocks non-compliant devices. Addresses R-01, R-02, R-08.</t>
  </si>
  <si>
    <t>8.2</t>
  </si>
  <si>
    <t>Privileged access rights</t>
  </si>
  <si>
    <t>Separate admin accounts from temporary accounts. MFA enforced for all privileged access. Admin activity logged and alerted. Quarterly privileged access review scheduled.</t>
  </si>
  <si>
    <t>8.3</t>
  </si>
  <si>
    <t>Information access restriction</t>
  </si>
  <si>
    <t>RBAC applied across M365, CRM, ERP, POS. Least-privilege enforced. Access request and approval process documented. Annual access review for all business-critical systems.</t>
  </si>
  <si>
    <t>8.4</t>
  </si>
  <si>
    <t>Access to source code</t>
  </si>
  <si>
    <t>EXCLUDED — NorthStar does not develop bespoke software in-house. E-commerce platform and all business applications are third-party provided. Development security addressed via supplier agreements (5.19).</t>
  </si>
  <si>
    <t>8.5</t>
  </si>
  <si>
    <t>Secure authentication</t>
  </si>
  <si>
    <t>MFA enforced across M365, cloud portals, CRM, and payment systems. FIDO2 phishing-resistant MFA planned for admin accounts. DMARC/SPF/DKIM configured. Password manager deployed.</t>
  </si>
  <si>
    <t>8.6</t>
  </si>
  <si>
    <t>Capacity management</t>
  </si>
  <si>
    <t>Cloud hosting with autoscaling in place for e-commerce. Capacity thresholds monitored via cloud provider dashboard. Storage utilisation reviewed monthly.</t>
  </si>
  <si>
    <t>8.7</t>
  </si>
  <si>
    <t>Protection against malware</t>
  </si>
  <si>
    <t>EDR being deployed across all endpoints and servers. Real-time threat detection and automated quarantine. Threat signatures updated continuously. Directly addresses R-02.</t>
  </si>
  <si>
    <t>8.8</t>
  </si>
  <si>
    <t>Management of technical vulnerabilities</t>
  </si>
  <si>
    <t>Monthly vulnerability scanning planned. Critical patches within 72 hours, high within 30 days. Patch compliance reported to IT Manager monthly. Addresses R-02, R-05.</t>
  </si>
  <si>
    <t>8.9</t>
  </si>
  <si>
    <t>Configuration management</t>
  </si>
  <si>
    <t>Secure configuration baselines being defined (CIS Benchmarks). Cloud, endpoint, POS, and network device baselines in scope. Quarterly configuration audit planned.</t>
  </si>
  <si>
    <t>8.10</t>
  </si>
  <si>
    <t>Information deletion</t>
  </si>
  <si>
    <t>Data retention and disposal schedule being drafted aligned to UK GDPR. Secure deletion confirmed on device decommissioning. Cloud data deletion verified via provider audit.</t>
  </si>
  <si>
    <t>8.11</t>
  </si>
  <si>
    <t>Data masking</t>
  </si>
  <si>
    <t>Payment card data tokenised via payment gateway. PII masking in non-production environments to be implemented. Data masking policy being drafted.</t>
  </si>
  <si>
    <t>8.12</t>
  </si>
  <si>
    <t>Data leakage prevention</t>
  </si>
  <si>
    <t>DLP policies being configured in M365 to alert on sensitive data sharing. USB use restricted on managed devices. Bulk data export monitoring to be configured. Addresses R-04, R-06.</t>
  </si>
  <si>
    <t>8.13</t>
  </si>
  <si>
    <t>Information backup</t>
  </si>
  <si>
    <t>3-2-1 backup strategy implemented. Immutable backup copies in place. Monthly restore testing scheduled. RTO/RPO defined per critical system. Directly addresses R-09.</t>
  </si>
  <si>
    <t>8.14</t>
  </si>
  <si>
    <t>Redundancy of information processing facilities</t>
  </si>
  <si>
    <t>E-commerce hosted on cloud with autoscaling and geographic redundancy. POS failover procedures documented. Warehouse system redundancy to be reviewed in Phase 2.</t>
  </si>
  <si>
    <t>8.15</t>
  </si>
  <si>
    <t>Logging</t>
  </si>
  <si>
    <t>Centralised log aggregation being implemented for M365, cloud, POS, network, and endpoints. Logs to be retained for minimum 12 months. Alerting rules for high-risk events being defined. Addresses R-12.</t>
  </si>
  <si>
    <t>8.16</t>
  </si>
  <si>
    <t>Monitoring activities</t>
  </si>
  <si>
    <t>Network and endpoint monitoring via EDR and cloud dashboards. Detection rules for admin account misuse, bulk data access, and failed login spikes being configured. Addresses R-01, R-02, R-06, R-12.</t>
  </si>
  <si>
    <t>8.17</t>
  </si>
  <si>
    <t>Clock synchronization</t>
  </si>
  <si>
    <t>NTP synchronisation enforced across all servers and network devices via Group Policy. Log timestamp consistency required for forensic integrity.</t>
  </si>
  <si>
    <t>8.18</t>
  </si>
  <si>
    <t>Use of privileged utility programs</t>
  </si>
  <si>
    <t>Privileged utility access restricted to IT Manager and authorised administrators. Use of admin tools logged. Restrictions enforced via Group Policy and MDM.</t>
  </si>
  <si>
    <t>8.19</t>
  </si>
  <si>
    <t>Installation of software on operational systems</t>
  </si>
  <si>
    <t>Software installation restricted to IT-approved applications via MDM and Group Policy. Approval process for new software documented. Unapproved installations blocked.</t>
  </si>
  <si>
    <t>8.20</t>
  </si>
  <si>
    <t>Networks security</t>
  </si>
  <si>
    <t>Network segmentation being implemented: separate VLANs for POS/payment, corporate, guest Wi-Fi, and warehouse. Firewall rules between segments. Network architecture documented. PCI DSS scope reduction achieved via segmentation.</t>
  </si>
  <si>
    <t>8.21</t>
  </si>
  <si>
    <t>Security of network services</t>
  </si>
  <si>
    <t>Network service security requirements documented. Firewall rules reviewed quarterly. VPN enforced for remote access. Wi-Fi security (WPA3) enforced across stores.</t>
  </si>
  <si>
    <t>8.22</t>
  </si>
  <si>
    <t>Segregation of networks</t>
  </si>
  <si>
    <t>Payment environment (POS, payment gateway) segregated from general corporate network. Guest Wi-Fi isolated. Warehouse systems on separate VLAN. Directly supports PCI DSS compliance.</t>
  </si>
  <si>
    <t>8.23</t>
  </si>
  <si>
    <t>Web filtering</t>
  </si>
  <si>
    <t>Web filtering applied to corporate network to block malicious sites. Category-based filtering configured. DNS filtering under evaluation for store networks.</t>
  </si>
  <si>
    <t>8.24</t>
  </si>
  <si>
    <t>Use of cryptography</t>
  </si>
  <si>
    <t>Full-disk encryption on all endpoints. TLS 1.2+ enforced for all data in transit. Encrypted backup copies. Payment data tokenised by gateway provider. Cryptography policy being documented.</t>
  </si>
  <si>
    <t>8.25</t>
  </si>
  <si>
    <t>Secure development life cycle</t>
  </si>
  <si>
    <t>EXCLUDED — NorthStar does not develop bespoke software. All business applications are third-party provided. Development security requirements addressed via supplier agreements through (5.19, 5.20).</t>
  </si>
  <si>
    <t>8.26</t>
  </si>
  <si>
    <t>Application security requirements</t>
  </si>
  <si>
    <t>Security requirements being defined for third-party application procurement. Penetration testing of e-commerce platform planned annually. Application security reviews included in supplier assessments.</t>
  </si>
  <si>
    <t>8.27</t>
  </si>
  <si>
    <t>Secure system architecture and engineering principles</t>
  </si>
  <si>
    <t>EXCLUDED — NorthStar does not design or build information systems in-house. Architecture security addressed through supplier evaluation and configuration management (8.9).</t>
  </si>
  <si>
    <t>8.28</t>
  </si>
  <si>
    <t>Secure coding</t>
  </si>
  <si>
    <t>EXCLUDED — No in-house software development. NorthStar configures and consumes commercial off-the-shelf software only. Supplier contracts require adherence to secure coding practices.</t>
  </si>
  <si>
    <t>8.29</t>
  </si>
  <si>
    <t>Security testing in development and acceptance</t>
  </si>
  <si>
    <t>Penetration testing of e-commerce platform and key systems planned annually. Acceptance testing for new systems includes security review checkpoint. Third-party pen test results reviewed by IT Manager.</t>
  </si>
  <si>
    <t>8.30</t>
  </si>
  <si>
    <t>Outsourced development</t>
  </si>
  <si>
    <t>EXCLUDED — NorthStar does not commission bespoke software development. Not applicable to current operations.</t>
  </si>
  <si>
    <t>8.31</t>
  </si>
  <si>
    <t>Separation of development, test and production environments</t>
  </si>
  <si>
    <t>EXCLUDED — NorthStar does not operate development environments. Configuration changes tested in staging environment provided by cloud/SaaS vendor before production deployment.</t>
  </si>
  <si>
    <t>8.32</t>
  </si>
  <si>
    <t>Change management</t>
  </si>
  <si>
    <t>Change management process being documented. All system changes require IT Manager approval. Emergency change procedure defined. Change log maintained in SharePoint.</t>
  </si>
  <si>
    <t>8.33</t>
  </si>
  <si>
    <t>Test information</t>
  </si>
  <si>
    <t>EXCLUDED — NorthStar does not conduct software development or system testing using production data. Test environments are vendor-managed with anonymised data.</t>
  </si>
  <si>
    <t>8.34</t>
  </si>
  <si>
    <t>Protection of information systems during audit testing</t>
  </si>
  <si>
    <t>Audit testing activities (penetration tests, vulnerability scans) to be scheduled outside peak trading periods. IT Manager to approve and supervise all audit testing. Production systems protected during assessment.</t>
  </si>
  <si>
    <t>Proportion of ISMS requirements</t>
  </si>
  <si>
    <t>Proportion of information security controls</t>
  </si>
  <si>
    <t>? Unknown</t>
  </si>
  <si>
    <t>Has not even been checked yet</t>
  </si>
  <si>
    <t>Nonexistent</t>
  </si>
  <si>
    <t>Complete lack of recognizable policy, procedure, control etc.</t>
  </si>
  <si>
    <t>Development has barely started and will require significant work to fulfill the requirements</t>
  </si>
  <si>
    <t>Progressing nicely but not yet complete</t>
  </si>
  <si>
    <t>Development is more or less complete although detail is lacking and/or it is not yet implemented, enforced and actively supported by top management</t>
  </si>
  <si>
    <t>Development is complete, the process/control has been implemented and recently started operating</t>
  </si>
  <si>
    <t>Optimized</t>
  </si>
  <si>
    <t>The requirement is fully satisfied, is operating fully as expected, is being actively monitored and improved, and there is substantial evidence to prove all that to the auditors</t>
  </si>
  <si>
    <t>Not applicable</t>
  </si>
  <si>
    <t>Applies to Annex A controls only. Mandatory ISO/IEC 27001 clauses remain in scope for NorthStar.</t>
  </si>
  <si>
    <t>Total</t>
  </si>
  <si>
    <t>Note: Annex A controls marked 'Not applicable' are documented and justified in the final Statement of Applicability.</t>
  </si>
  <si>
    <t>Mandatory ISO/IEC 27001 clauses remain in scope for the NorthStar 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</si>
</sst>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Arial"/>
      <family val="2"/>
    </font>
    <font>
      <u/>
      <sz val="10"/>
      <color indexed="12"/>
      <name val="Arial"/>
      <family val="2"/>
    </font>
    <font>
      <b/>
      <sz val="12"/>
      <color indexed="9"/>
      <name val="Arial"/>
      <family val="2"/>
    </font>
    <font>
      <sz val="10"/>
      <name val="Arial"/>
      <family val="2"/>
    </font>
    <font>
      <sz val="12"/>
      <name val="Calibri"/>
      <family val="2"/>
      <scheme val="minor"/>
    </font>
    <font>
      <b/>
      <sz val="14"/>
      <name val="Calibri"/>
      <family val="2"/>
      <scheme val="minor"/>
    </font>
    <font>
      <sz val="10"/>
      <name val="Calibri"/>
      <family val="2"/>
      <scheme val="minor"/>
    </font>
    <font>
      <b/>
      <sz val="12"/>
      <color indexed="9"/>
      <name val="Calibri"/>
      <family val="2"/>
      <scheme val="minor"/>
    </font>
    <font>
      <b/>
      <sz val="10"/>
      <name val="Calibri"/>
      <family val="2"/>
      <scheme val="minor"/>
    </font>
    <font>
      <u/>
      <sz val="14"/>
      <color indexed="12"/>
      <name val="Calibri"/>
      <family val="2"/>
      <scheme val="minor"/>
    </font>
    <font>
      <b/>
      <sz val="24"/>
      <name val="Calibri"/>
      <family val="2"/>
      <scheme val="minor"/>
    </font>
    <font>
      <sz val="14"/>
      <name val="Calibri"/>
      <family val="2"/>
      <scheme val="minor"/>
    </font>
    <font>
      <sz val="20"/>
      <name val="Calibri"/>
      <family val="2"/>
      <scheme val="minor"/>
    </font>
    <font>
      <b/>
      <sz val="18"/>
      <color indexed="8"/>
      <name val="Calibri"/>
      <family val="2"/>
      <scheme val="minor"/>
    </font>
    <font>
      <b/>
      <sz val="18"/>
      <name val="Calibri"/>
      <family val="2"/>
      <scheme val="minor"/>
    </font>
    <font>
      <sz val="18"/>
      <name val="Calibri"/>
      <family val="2"/>
      <scheme val="minor"/>
    </font>
    <font>
      <b/>
      <sz val="12"/>
      <color indexed="8"/>
      <name val="Calibri"/>
      <family val="2"/>
      <scheme val="minor"/>
    </font>
    <font>
      <b/>
      <sz val="16"/>
      <color theme="0"/>
      <name val="Calibri"/>
      <family val="2"/>
      <scheme val="minor"/>
    </font>
    <font>
      <sz val="12"/>
      <name val="Calibri"/>
      <family val="2"/>
    </font>
    <font>
      <b/>
      <sz val="14"/>
      <color theme="0"/>
      <name val="Calibri"/>
      <family val="2"/>
      <scheme val="minor"/>
    </font>
    <font>
      <sz val="10"/>
      <color theme="0" tint="-0.14999847407452621"/>
      <name val="Calibri"/>
      <family val="2"/>
      <scheme val="minor"/>
    </font>
    <font>
      <b/>
      <sz val="12"/>
      <color rgb="FFFFFFFF"/>
      <name val="Arial"/>
    </font>
    <font>
      <i/>
      <sz val="9"/>
      <color rgb="FF1F3864"/>
      <name val="Arial"/>
    </font>
    <font>
      <b/>
      <sz val="10"/>
      <color rgb="FFFFFFFF"/>
      <name val="Arial"/>
    </font>
    <font>
      <b/>
      <sz val="11"/>
      <color rgb="FFFFFFFF"/>
      <name val="Arial"/>
    </font>
    <font>
      <sz val="10"/>
      <name val="Arial"/>
    </font>
    <font>
      <b/>
      <sz val="10"/>
      <color rgb="FF1F3864"/>
      <name val="Arial"/>
    </font>
    <font>
      <b/>
      <sz val="10"/>
      <color rgb="FF7F5800"/>
      <name val="Arial"/>
    </font>
    <font>
      <b/>
      <sz val="10"/>
      <color rgb="FF375623"/>
      <name val="Arial"/>
    </font>
    <font>
      <b/>
      <sz val="10"/>
      <color rgb="FFC00000"/>
      <name val="Arial"/>
    </font>
    <font>
      <sz val="11"/>
      <name val="Calibri"/>
    </font>
    <font>
      <b/>
      <sz val="11"/>
      <color rgb="FFFFFFFF"/>
      <name val="Calibri"/>
    </font>
    <font>
      <b/>
      <sz val="11"/>
      <name val="Calibri"/>
    </font>
    <font>
      <i/>
      <sz val="10"/>
      <color rgb="FF595959"/>
      <name val="Calibri"/>
    </font>
  </fonts>
  <fills count="15">
    <fill>
      <patternFill patternType="none"/>
    </fill>
    <fill>
      <patternFill patternType="gray125"/>
    </fill>
    <fill>
      <patternFill patternType="solid">
        <fgColor indexed="44"/>
        <bgColor indexed="26"/>
      </patternFill>
    </fill>
    <fill>
      <patternFill patternType="solid">
        <fgColor indexed="52"/>
        <bgColor indexed="19"/>
      </patternFill>
    </fill>
    <fill>
      <patternFill patternType="solid">
        <fgColor indexed="8"/>
        <bgColor indexed="58"/>
      </patternFill>
    </fill>
    <fill>
      <patternFill patternType="solid">
        <fgColor indexed="27"/>
        <bgColor indexed="42"/>
      </patternFill>
    </fill>
    <fill>
      <patternFill patternType="solid">
        <fgColor rgb="FF002060"/>
        <bgColor indexed="42"/>
      </patternFill>
    </fill>
    <fill>
      <patternFill patternType="solid">
        <fgColor theme="4" tint="0.79998168889431442"/>
        <bgColor indexed="64"/>
      </patternFill>
    </fill>
    <fill>
      <patternFill patternType="solid">
        <fgColor rgb="FF1F3864"/>
      </patternFill>
    </fill>
    <fill>
      <patternFill patternType="solid">
        <fgColor rgb="FFCADCFC"/>
      </patternFill>
    </fill>
    <fill>
      <patternFill patternType="solid">
        <fgColor rgb="FFEBF3FB"/>
      </patternFill>
    </fill>
    <fill>
      <patternFill patternType="solid">
        <fgColor rgb="FFE2EFDA"/>
      </patternFill>
    </fill>
    <fill>
      <patternFill patternType="solid">
        <fgColor rgb="FFFCE4D6"/>
      </patternFill>
    </fill>
    <fill>
      <patternFill patternType="solid">
        <fgColor rgb="FFFFFFFF"/>
      </patternFill>
    </fill>
    <fill>
      <patternFill patternType="solid">
        <fgColor rgb="FF002060"/>
      </patternFill>
    </fill>
  </fills>
  <borders count="20">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top/>
      <bottom/>
      <diagonal/>
    </border>
    <border>
      <left style="hair">
        <color indexed="8"/>
      </left>
      <right/>
      <top/>
      <bottom style="hair">
        <color indexed="8"/>
      </bottom>
      <diagonal/>
    </border>
    <border>
      <left/>
      <right/>
      <top/>
      <bottom style="hair">
        <color indexed="8"/>
      </bottom>
      <diagonal/>
    </border>
    <border>
      <left style="hair">
        <color indexed="8"/>
      </left>
      <right style="hair">
        <color indexed="8"/>
      </right>
      <top style="hair">
        <color indexed="8"/>
      </top>
      <bottom/>
      <diagonal/>
    </border>
    <border>
      <left style="medium">
        <color indexed="64"/>
      </left>
      <right style="hair">
        <color indexed="8"/>
      </right>
      <top style="medium">
        <color indexed="64"/>
      </top>
      <bottom style="hair">
        <color indexed="8"/>
      </bottom>
      <diagonal/>
    </border>
    <border>
      <left style="hair">
        <color indexed="8"/>
      </left>
      <right style="hair">
        <color indexed="8"/>
      </right>
      <top style="medium">
        <color indexed="64"/>
      </top>
      <bottom style="hair">
        <color indexed="8"/>
      </bottom>
      <diagonal/>
    </border>
    <border>
      <left style="hair">
        <color indexed="8"/>
      </left>
      <right style="medium">
        <color indexed="64"/>
      </right>
      <top style="medium">
        <color indexed="64"/>
      </top>
      <bottom style="hair">
        <color indexed="8"/>
      </bottom>
      <diagonal/>
    </border>
    <border>
      <left style="medium">
        <color indexed="64"/>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medium">
        <color indexed="64"/>
      </left>
      <right style="hair">
        <color indexed="8"/>
      </right>
      <top style="hair">
        <color indexed="8"/>
      </top>
      <bottom style="medium">
        <color indexed="64"/>
      </bottom>
      <diagonal/>
    </border>
    <border>
      <left style="hair">
        <color indexed="8"/>
      </left>
      <right style="hair">
        <color indexed="8"/>
      </right>
      <top style="hair">
        <color indexed="8"/>
      </top>
      <bottom style="medium">
        <color indexed="64"/>
      </bottom>
      <diagonal/>
    </border>
    <border>
      <left style="hair">
        <color indexed="8"/>
      </left>
      <right style="medium">
        <color indexed="64"/>
      </right>
      <top style="hair">
        <color indexed="8"/>
      </top>
      <bottom style="medium">
        <color indexed="64"/>
      </bottom>
      <diagonal/>
    </border>
    <border>
      <left/>
      <right/>
      <top style="hair">
        <color indexed="8"/>
      </top>
      <bottom/>
      <diagonal/>
    </border>
    <border>
      <left/>
      <right style="hair">
        <color indexed="8"/>
      </right>
      <top style="hair">
        <color indexed="8"/>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D9D9D9"/>
      </left>
      <right style="thin">
        <color rgb="FFD9D9D9"/>
      </right>
      <top style="thin">
        <color rgb="FFD9D9D9"/>
      </top>
      <bottom style="thin">
        <color rgb="FFD9D9D9"/>
      </bottom>
      <diagonal/>
    </border>
  </borders>
  <cellStyleXfs count="7">
    <xf numFmtId="0" fontId="0" fillId="0" borderId="18"/>
    <xf numFmtId="0" fontId="1" fillId="0" borderId="18"/>
    <xf numFmtId="0" fontId="3" fillId="2" borderId="18"/>
    <xf numFmtId="0" fontId="3" fillId="0" borderId="18"/>
    <xf numFmtId="0" fontId="2" fillId="3" borderId="18">
      <alignment horizontal="center" vertical="center"/>
    </xf>
    <xf numFmtId="0" fontId="2" fillId="4" borderId="18">
      <alignment horizontal="center" vertical="center"/>
    </xf>
    <xf numFmtId="0" fontId="18" fillId="0" borderId="18">
      <alignment horizontal="center" vertical="center" shrinkToFit="1"/>
    </xf>
  </cellStyleXfs>
  <cellXfs count="83">
    <xf numFmtId="0" fontId="0" fillId="0" borderId="0" xfId="0" applyBorder="1"/>
    <xf numFmtId="0" fontId="6" fillId="0" borderId="3" xfId="3" applyFont="1" applyBorder="1" applyAlignment="1">
      <alignment horizontal="center" vertical="top"/>
    </xf>
    <xf numFmtId="0" fontId="6" fillId="0" borderId="0" xfId="3" applyFont="1" applyBorder="1" applyAlignment="1">
      <alignment wrapText="1"/>
    </xf>
    <xf numFmtId="0" fontId="8" fillId="0" borderId="0" xfId="3" applyFont="1" applyBorder="1" applyAlignment="1">
      <alignment wrapText="1"/>
    </xf>
    <xf numFmtId="0" fontId="6" fillId="0" borderId="0" xfId="3" applyFont="1" applyBorder="1" applyAlignment="1">
      <alignment horizontal="center" wrapText="1"/>
    </xf>
    <xf numFmtId="0" fontId="9" fillId="0" borderId="0" xfId="1" applyFont="1" applyBorder="1" applyAlignment="1">
      <alignment horizontal="center" wrapText="1"/>
    </xf>
    <xf numFmtId="0" fontId="10" fillId="0" borderId="0" xfId="3" applyFont="1" applyBorder="1" applyAlignment="1">
      <alignment horizontal="center" vertical="center" wrapText="1"/>
    </xf>
    <xf numFmtId="0" fontId="5" fillId="0" borderId="0" xfId="3" applyFont="1" applyBorder="1" applyAlignment="1">
      <alignment wrapText="1"/>
    </xf>
    <xf numFmtId="0" fontId="13" fillId="5" borderId="1" xfId="3" applyFont="1" applyFill="1" applyBorder="1" applyAlignment="1" applyProtection="1">
      <alignment wrapText="1"/>
      <protection locked="0"/>
    </xf>
    <xf numFmtId="0" fontId="14" fillId="0" borderId="0" xfId="3" applyFont="1" applyBorder="1" applyAlignment="1" applyProtection="1">
      <alignment wrapText="1"/>
      <protection locked="0"/>
    </xf>
    <xf numFmtId="0" fontId="13" fillId="5" borderId="1" xfId="3" applyFont="1" applyFill="1" applyBorder="1" applyAlignment="1" applyProtection="1">
      <alignment horizontal="left" wrapText="1"/>
      <protection locked="0"/>
    </xf>
    <xf numFmtId="0" fontId="15" fillId="0" borderId="0" xfId="0" applyFont="1" applyBorder="1" applyAlignment="1" applyProtection="1">
      <alignment wrapText="1"/>
      <protection locked="0"/>
    </xf>
    <xf numFmtId="0" fontId="15" fillId="0" borderId="0" xfId="3" applyFont="1" applyBorder="1" applyAlignment="1" applyProtection="1">
      <alignment wrapText="1"/>
      <protection locked="0"/>
    </xf>
    <xf numFmtId="0" fontId="4" fillId="0" borderId="0" xfId="3" applyFont="1" applyBorder="1" applyAlignment="1" applyProtection="1">
      <alignment horizontal="center" wrapText="1"/>
      <protection locked="0"/>
    </xf>
    <xf numFmtId="0" fontId="6" fillId="0" borderId="0" xfId="3" applyFont="1" applyBorder="1" applyAlignment="1" applyProtection="1">
      <alignment wrapText="1"/>
      <protection locked="0"/>
    </xf>
    <xf numFmtId="0" fontId="7" fillId="0" borderId="0" xfId="4" applyFont="1" applyFill="1" applyBorder="1" applyProtection="1">
      <alignment horizontal="center" vertical="center"/>
      <protection locked="0"/>
    </xf>
    <xf numFmtId="0" fontId="6" fillId="0" borderId="2" xfId="3" applyFont="1" applyBorder="1" applyAlignment="1" applyProtection="1">
      <alignment wrapText="1"/>
      <protection locked="0"/>
    </xf>
    <xf numFmtId="0" fontId="4" fillId="0" borderId="0" xfId="3" applyFont="1" applyBorder="1" applyAlignment="1">
      <alignment horizontal="center" wrapText="1"/>
    </xf>
    <xf numFmtId="9" fontId="8" fillId="0" borderId="0" xfId="3" applyNumberFormat="1" applyFont="1" applyBorder="1" applyAlignment="1">
      <alignment horizontal="center" vertical="top" wrapText="1"/>
    </xf>
    <xf numFmtId="0" fontId="8" fillId="0" borderId="4" xfId="3" applyFont="1" applyBorder="1" applyAlignment="1">
      <alignment horizontal="center" vertical="top"/>
    </xf>
    <xf numFmtId="0" fontId="4" fillId="0" borderId="5" xfId="3" applyFont="1" applyBorder="1" applyAlignment="1" applyProtection="1">
      <alignment horizontal="center" wrapText="1"/>
      <protection locked="0"/>
    </xf>
    <xf numFmtId="0" fontId="6" fillId="0" borderId="5" xfId="3" applyFont="1" applyBorder="1" applyAlignment="1" applyProtection="1">
      <alignment wrapText="1"/>
      <protection locked="0"/>
    </xf>
    <xf numFmtId="0" fontId="6" fillId="0" borderId="0" xfId="0" applyFont="1" applyBorder="1"/>
    <xf numFmtId="0" fontId="6" fillId="0" borderId="0" xfId="3" applyFont="1" applyBorder="1" applyAlignment="1" applyProtection="1">
      <alignment vertical="center" wrapText="1"/>
      <protection locked="0"/>
    </xf>
    <xf numFmtId="0" fontId="6" fillId="0" borderId="1" xfId="3" applyFont="1" applyBorder="1" applyAlignment="1" applyProtection="1">
      <alignment horizontal="right" vertical="center" wrapText="1"/>
      <protection locked="0"/>
    </xf>
    <xf numFmtId="0" fontId="4" fillId="0" borderId="0" xfId="3" applyFont="1" applyBorder="1" applyAlignment="1" applyProtection="1">
      <alignment wrapText="1"/>
      <protection locked="0"/>
    </xf>
    <xf numFmtId="0" fontId="4" fillId="0" borderId="0" xfId="0" applyFont="1" applyBorder="1" applyAlignment="1" applyProtection="1">
      <alignment wrapText="1"/>
      <protection locked="0"/>
    </xf>
    <xf numFmtId="0" fontId="12" fillId="0" borderId="0" xfId="3" applyFont="1" applyBorder="1" applyAlignment="1" applyProtection="1">
      <alignment vertical="center" wrapText="1"/>
      <protection locked="0"/>
    </xf>
    <xf numFmtId="0" fontId="11" fillId="0" borderId="0" xfId="0" applyFont="1" applyBorder="1"/>
    <xf numFmtId="0" fontId="6" fillId="0" borderId="0" xfId="0" applyFont="1" applyBorder="1" applyAlignment="1">
      <alignment horizontal="center" vertical="center"/>
    </xf>
    <xf numFmtId="0" fontId="16" fillId="7" borderId="1" xfId="3" applyFont="1" applyFill="1" applyBorder="1" applyAlignment="1" applyProtection="1">
      <alignment horizontal="center" wrapText="1"/>
      <protection locked="0"/>
    </xf>
    <xf numFmtId="0" fontId="16" fillId="7" borderId="1" xfId="3" applyFont="1" applyFill="1" applyBorder="1" applyAlignment="1" applyProtection="1">
      <alignment horizontal="left" wrapText="1"/>
      <protection locked="0"/>
    </xf>
    <xf numFmtId="0" fontId="4" fillId="0" borderId="1" xfId="3" applyFont="1" applyBorder="1" applyAlignment="1">
      <alignment horizontal="center" vertical="center" shrinkToFit="1"/>
    </xf>
    <xf numFmtId="0" fontId="16" fillId="7" borderId="1" xfId="3" applyFont="1" applyFill="1" applyBorder="1" applyAlignment="1" applyProtection="1">
      <alignment horizontal="left" shrinkToFit="1"/>
      <protection locked="0"/>
    </xf>
    <xf numFmtId="0" fontId="13" fillId="5" borderId="1" xfId="3" applyFont="1" applyFill="1" applyBorder="1" applyAlignment="1" applyProtection="1">
      <alignment horizontal="center" shrinkToFit="1"/>
      <protection locked="0"/>
    </xf>
    <xf numFmtId="0" fontId="19" fillId="6" borderId="7" xfId="3" applyFont="1" applyFill="1" applyBorder="1" applyAlignment="1" applyProtection="1">
      <alignment horizontal="center" wrapText="1"/>
      <protection locked="0"/>
    </xf>
    <xf numFmtId="0" fontId="17" fillId="6" borderId="8" xfId="3" applyFont="1" applyFill="1" applyBorder="1" applyAlignment="1" applyProtection="1">
      <alignment horizontal="center" wrapText="1"/>
      <protection locked="0"/>
    </xf>
    <xf numFmtId="0" fontId="17" fillId="6" borderId="9" xfId="3" applyFont="1" applyFill="1" applyBorder="1" applyAlignment="1" applyProtection="1">
      <alignment horizontal="center" wrapText="1"/>
      <protection locked="0"/>
    </xf>
    <xf numFmtId="0" fontId="13" fillId="5" borderId="10" xfId="3" applyFont="1" applyFill="1" applyBorder="1" applyAlignment="1" applyProtection="1">
      <alignment horizontal="center" wrapText="1"/>
      <protection locked="0"/>
    </xf>
    <xf numFmtId="0" fontId="13" fillId="5" borderId="11" xfId="3" applyFont="1" applyFill="1" applyBorder="1" applyAlignment="1" applyProtection="1">
      <alignment wrapText="1"/>
      <protection locked="0"/>
    </xf>
    <xf numFmtId="0" fontId="16" fillId="7" borderId="10" xfId="3" applyFont="1" applyFill="1" applyBorder="1" applyAlignment="1" applyProtection="1">
      <alignment horizontal="center" wrapText="1"/>
      <protection locked="0"/>
    </xf>
    <xf numFmtId="0" fontId="16" fillId="7" borderId="11" xfId="3" applyFont="1" applyFill="1" applyBorder="1" applyAlignment="1" applyProtection="1">
      <alignment horizontal="left" wrapText="1"/>
      <protection locked="0"/>
    </xf>
    <xf numFmtId="0" fontId="6" fillId="0" borderId="10" xfId="3" applyFont="1" applyBorder="1" applyAlignment="1" applyProtection="1">
      <alignment horizontal="center" vertical="center" wrapText="1"/>
      <protection locked="0"/>
    </xf>
    <xf numFmtId="0" fontId="6" fillId="0" borderId="11" xfId="3" applyFont="1" applyBorder="1" applyAlignment="1" applyProtection="1">
      <alignment vertical="center" wrapText="1"/>
      <protection locked="0"/>
    </xf>
    <xf numFmtId="0" fontId="13" fillId="5" borderId="11" xfId="3" applyFont="1" applyFill="1" applyBorder="1" applyAlignment="1" applyProtection="1">
      <alignment horizontal="center" wrapText="1"/>
      <protection locked="0"/>
    </xf>
    <xf numFmtId="0" fontId="6" fillId="0" borderId="12" xfId="3" applyFont="1" applyBorder="1" applyAlignment="1" applyProtection="1">
      <alignment horizontal="center" vertical="center" wrapText="1"/>
      <protection locked="0"/>
    </xf>
    <xf numFmtId="0" fontId="6" fillId="0" borderId="13" xfId="3" applyFont="1" applyBorder="1" applyAlignment="1" applyProtection="1">
      <alignment horizontal="right" vertical="center" wrapText="1"/>
      <protection locked="0"/>
    </xf>
    <xf numFmtId="0" fontId="4" fillId="0" borderId="13" xfId="3" applyFont="1" applyBorder="1" applyAlignment="1">
      <alignment horizontal="center" vertical="center" shrinkToFit="1"/>
    </xf>
    <xf numFmtId="0" fontId="6" fillId="0" borderId="14" xfId="3" applyFont="1" applyBorder="1" applyAlignment="1" applyProtection="1">
      <alignment vertical="center" wrapText="1"/>
      <protection locked="0"/>
    </xf>
    <xf numFmtId="0" fontId="20" fillId="0" borderId="0" xfId="3" applyFont="1" applyBorder="1" applyAlignment="1" applyProtection="1">
      <alignment wrapText="1"/>
      <protection locked="0"/>
    </xf>
    <xf numFmtId="0" fontId="23" fillId="8" borderId="17" xfId="0" applyFont="1" applyFill="1" applyBorder="1" applyAlignment="1">
      <alignment horizontal="center" vertical="center"/>
    </xf>
    <xf numFmtId="0" fontId="23" fillId="8" borderId="17" xfId="0" applyFont="1" applyFill="1" applyBorder="1" applyAlignment="1">
      <alignment horizontal="left" vertical="center"/>
    </xf>
    <xf numFmtId="0" fontId="26" fillId="10" borderId="17" xfId="0" applyFont="1" applyFill="1" applyBorder="1" applyAlignment="1">
      <alignment horizontal="center" vertical="top"/>
    </xf>
    <xf numFmtId="0" fontId="25" fillId="10" borderId="17" xfId="0" applyFont="1" applyFill="1" applyBorder="1" applyAlignment="1">
      <alignment horizontal="left" vertical="top" wrapText="1"/>
    </xf>
    <xf numFmtId="0" fontId="27" fillId="10" borderId="17" xfId="0" applyFont="1" applyFill="1" applyBorder="1" applyAlignment="1">
      <alignment horizontal="center" vertical="top" wrapText="1"/>
    </xf>
    <xf numFmtId="0" fontId="26" fillId="10" borderId="17" xfId="0" applyFont="1" applyFill="1" applyBorder="1" applyAlignment="1">
      <alignment horizontal="center" vertical="top" wrapText="1"/>
    </xf>
    <xf numFmtId="0" fontId="26" fillId="11" borderId="17" xfId="0" applyFont="1" applyFill="1" applyBorder="1" applyAlignment="1">
      <alignment horizontal="center" vertical="top"/>
    </xf>
    <xf numFmtId="0" fontId="25" fillId="11" borderId="17" xfId="0" applyFont="1" applyFill="1" applyBorder="1" applyAlignment="1">
      <alignment horizontal="left" vertical="top" wrapText="1"/>
    </xf>
    <xf numFmtId="0" fontId="28" fillId="11" borderId="17" xfId="0" applyFont="1" applyFill="1" applyBorder="1" applyAlignment="1">
      <alignment horizontal="center" vertical="top" wrapText="1"/>
    </xf>
    <xf numFmtId="0" fontId="26" fillId="12" borderId="17" xfId="0" applyFont="1" applyFill="1" applyBorder="1" applyAlignment="1">
      <alignment horizontal="center" vertical="top"/>
    </xf>
    <xf numFmtId="0" fontId="25" fillId="12" borderId="17" xfId="0" applyFont="1" applyFill="1" applyBorder="1" applyAlignment="1">
      <alignment horizontal="left" vertical="top" wrapText="1"/>
    </xf>
    <xf numFmtId="0" fontId="29" fillId="12" borderId="17" xfId="0" applyFont="1" applyFill="1" applyBorder="1" applyAlignment="1">
      <alignment horizontal="center" vertical="top" wrapText="1"/>
    </xf>
    <xf numFmtId="0" fontId="25" fillId="0" borderId="0" xfId="4" applyFont="1" applyFill="1" applyBorder="1" applyProtection="1">
      <alignment horizontal="center" vertical="center"/>
      <protection locked="0"/>
    </xf>
    <xf numFmtId="0" fontId="30" fillId="13" borderId="18" xfId="0" applyFont="1" applyFill="1"/>
    <xf numFmtId="0" fontId="31" fillId="14" borderId="19" xfId="0" applyFont="1" applyFill="1" applyBorder="1" applyAlignment="1">
      <alignment horizontal="center" vertical="center" wrapText="1"/>
    </xf>
    <xf numFmtId="0" fontId="30" fillId="13" borderId="19" xfId="3" applyFont="1" applyFill="1" applyBorder="1" applyAlignment="1">
      <alignment horizontal="left" vertical="center" wrapText="1"/>
    </xf>
    <xf numFmtId="9" fontId="30" fillId="13" borderId="19" xfId="3" applyNumberFormat="1" applyFont="1" applyFill="1" applyBorder="1" applyAlignment="1">
      <alignment horizontal="center" vertical="center"/>
    </xf>
    <xf numFmtId="0" fontId="30" fillId="13" borderId="18" xfId="3" applyFont="1" applyFill="1"/>
    <xf numFmtId="0" fontId="32" fillId="13" borderId="19" xfId="3" applyFont="1" applyFill="1" applyBorder="1" applyAlignment="1">
      <alignment horizontal="right" vertical="center"/>
    </xf>
    <xf numFmtId="9" fontId="32" fillId="13" borderId="19" xfId="3" applyNumberFormat="1" applyFont="1" applyFill="1" applyBorder="1" applyAlignment="1">
      <alignment horizontal="center" vertical="center"/>
    </xf>
    <xf numFmtId="0" fontId="33" fillId="13" borderId="18" xfId="0" applyFont="1" applyFill="1" applyAlignment="1">
      <alignment horizontal="left" vertical="center" wrapText="1"/>
    </xf>
    <xf numFmtId="0" fontId="26" fillId="13" borderId="17" xfId="0" applyFont="1" applyFill="1" applyBorder="1" applyAlignment="1">
      <alignment horizontal="center" vertical="top"/>
    </xf>
    <xf numFmtId="0" fontId="25" fillId="13" borderId="17" xfId="0" applyFont="1" applyFill="1" applyBorder="1" applyAlignment="1">
      <alignment horizontal="left" vertical="top" wrapText="1"/>
    </xf>
    <xf numFmtId="0" fontId="27" fillId="13" borderId="17" xfId="0" applyFont="1" applyFill="1" applyBorder="1" applyAlignment="1">
      <alignment horizontal="center" vertical="top" wrapText="1"/>
    </xf>
    <xf numFmtId="0" fontId="26" fillId="13" borderId="17" xfId="0" applyFont="1" applyFill="1" applyBorder="1" applyAlignment="1">
      <alignment horizontal="center" vertical="top" wrapText="1"/>
    </xf>
    <xf numFmtId="0" fontId="0" fillId="0" borderId="0" xfId="0" applyBorder="1" applyAlignment="1">
      <alignment wrapText="1"/>
    </xf>
    <xf numFmtId="0" fontId="24" fillId="8" borderId="18" xfId="0" applyFont="1" applyFill="1" applyAlignment="1">
      <alignment horizontal="left" vertical="center" indent="1"/>
    </xf>
    <xf numFmtId="0" fontId="0" fillId="0" borderId="0" xfId="0" applyBorder="1"/>
    <xf numFmtId="0" fontId="21" fillId="8" borderId="18" xfId="0" applyFont="1" applyFill="1" applyAlignment="1">
      <alignment horizontal="left" vertical="center" indent="1"/>
    </xf>
    <xf numFmtId="0" fontId="22" fillId="9" borderId="18" xfId="0" applyFont="1" applyFill="1" applyAlignment="1">
      <alignment horizontal="left" vertical="center" indent="1"/>
    </xf>
    <xf numFmtId="0" fontId="10" fillId="0" borderId="6" xfId="3" applyFont="1" applyBorder="1" applyAlignment="1" applyProtection="1">
      <alignment horizontal="center" vertical="center" wrapText="1"/>
      <protection locked="0"/>
    </xf>
    <xf numFmtId="0" fontId="0" fillId="0" borderId="15" xfId="0" applyBorder="1" applyProtection="1">
      <protection locked="0"/>
    </xf>
    <xf numFmtId="0" fontId="0" fillId="0" borderId="16" xfId="0" applyBorder="1" applyProtection="1">
      <protection locked="0"/>
    </xf>
  </cellXfs>
  <cellStyles count="7">
    <cellStyle name="_state_yes" xfId="2" xr:uid="{00000000-0005-0000-0000-000002000000}"/>
    <cellStyle name="ConditionalStyle_0" xfId="5" xr:uid="{00000000-0005-0000-0000-000005000000}"/>
    <cellStyle name="ConditionalStyle_2" xfId="4" xr:uid="{00000000-0005-0000-0000-000004000000}"/>
    <cellStyle name="Excel Built-in Normal" xfId="3" xr:uid="{00000000-0005-0000-0000-000003000000}"/>
    <cellStyle name="Hyperlink" xfId="1" builtinId="8"/>
    <cellStyle name="Normal" xfId="0" builtinId="0"/>
    <cellStyle name="Status" xfId="6" xr:uid="{00000000-0005-0000-0000-000006000000}"/>
  </cellStyles>
  <dxfs count="5">
    <dxf>
      <alignment wrapText="1"/>
    </dxf>
    <dxf>
      <alignment wrapText="1"/>
    </dxf>
    <dxf>
      <alignment wrapText="1"/>
    </dxf>
    <dxf>
      <alignment wrapText="1"/>
    </dxf>
    <dxf>
      <alignment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CC00"/>
      <rgbColor rgb="000000FF"/>
      <rgbColor rgb="00FFFF00"/>
      <rgbColor rgb="00FF00FF"/>
      <rgbColor rgb="0066FF66"/>
      <rgbColor rgb="00800000"/>
      <rgbColor rgb="00008000"/>
      <rgbColor rgb="00000080"/>
      <rgbColor rgb="00808000"/>
      <rgbColor rgb="00800080"/>
      <rgbColor rgb="00009999"/>
      <rgbColor rgb="00B2B2B2"/>
      <rgbColor rgb="00808080"/>
      <rgbColor rgb="009999FF"/>
      <rgbColor rgb="00993366"/>
      <rgbColor rgb="00CCFF99"/>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6E6FF"/>
      <rgbColor rgb="00CCFFCC"/>
      <rgbColor rgb="00FFFF66"/>
      <rgbColor rgb="00A0FFA0"/>
      <rgbColor rgb="00FF99CC"/>
      <rgbColor rgb="00CC99FF"/>
      <rgbColor rgb="00FFCC99"/>
      <rgbColor rgb="003366FF"/>
      <rgbColor rgb="0033FF99"/>
      <rgbColor rgb="0099FF33"/>
      <rgbColor rgb="00FFCC00"/>
      <rgbColor rgb="00CC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GB"/>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9175-4E75-8D64-B909D493E605}"/>
              </c:ext>
            </c:extLst>
          </c:dPt>
          <c:dPt>
            <c:idx val="1"/>
            <c:bubble3D val="0"/>
            <c:spPr>
              <a:solidFill>
                <a:schemeClr val="accent2"/>
              </a:solidFill>
              <a:ln>
                <a:noFill/>
                <a:prstDash val="solid"/>
              </a:ln>
            </c:spPr>
            <c:extLst>
              <c:ext xmlns:c16="http://schemas.microsoft.com/office/drawing/2014/chart" uri="{C3380CC4-5D6E-409C-BE32-E72D297353CC}">
                <c16:uniqueId val="{00000003-9175-4E75-8D64-B909D493E605}"/>
              </c:ext>
            </c:extLst>
          </c:dPt>
          <c:dPt>
            <c:idx val="2"/>
            <c:bubble3D val="0"/>
            <c:spPr>
              <a:solidFill>
                <a:schemeClr val="accent3"/>
              </a:solidFill>
              <a:ln>
                <a:noFill/>
                <a:prstDash val="solid"/>
              </a:ln>
            </c:spPr>
            <c:extLst>
              <c:ext xmlns:c16="http://schemas.microsoft.com/office/drawing/2014/chart" uri="{C3380CC4-5D6E-409C-BE32-E72D297353CC}">
                <c16:uniqueId val="{00000005-9175-4E75-8D64-B909D493E605}"/>
              </c:ext>
            </c:extLst>
          </c:dPt>
          <c:dPt>
            <c:idx val="3"/>
            <c:bubble3D val="0"/>
            <c:spPr>
              <a:solidFill>
                <a:schemeClr val="accent4"/>
              </a:solidFill>
              <a:ln>
                <a:noFill/>
                <a:prstDash val="solid"/>
              </a:ln>
            </c:spPr>
            <c:extLst>
              <c:ext xmlns:c16="http://schemas.microsoft.com/office/drawing/2014/chart" uri="{C3380CC4-5D6E-409C-BE32-E72D297353CC}">
                <c16:uniqueId val="{00000007-9175-4E75-8D64-B909D493E605}"/>
              </c:ext>
            </c:extLst>
          </c:dPt>
          <c:dPt>
            <c:idx val="4"/>
            <c:bubble3D val="0"/>
            <c:spPr>
              <a:solidFill>
                <a:schemeClr val="accent5"/>
              </a:solidFill>
              <a:ln>
                <a:noFill/>
                <a:prstDash val="solid"/>
              </a:ln>
            </c:spPr>
            <c:extLst>
              <c:ext xmlns:c16="http://schemas.microsoft.com/office/drawing/2014/chart" uri="{C3380CC4-5D6E-409C-BE32-E72D297353CC}">
                <c16:uniqueId val="{00000009-9175-4E75-8D64-B909D493E605}"/>
              </c:ext>
            </c:extLst>
          </c:dPt>
          <c:dPt>
            <c:idx val="5"/>
            <c:bubble3D val="0"/>
            <c:spPr>
              <a:solidFill>
                <a:schemeClr val="accent6"/>
              </a:solidFill>
              <a:ln>
                <a:noFill/>
                <a:prstDash val="solid"/>
              </a:ln>
            </c:spPr>
            <c:extLst>
              <c:ext xmlns:c16="http://schemas.microsoft.com/office/drawing/2014/chart" uri="{C3380CC4-5D6E-409C-BE32-E72D297353CC}">
                <c16:uniqueId val="{0000000B-9175-4E75-8D64-B909D493E605}"/>
              </c:ext>
            </c:extLst>
          </c:dPt>
          <c:dPt>
            <c:idx val="6"/>
            <c:bubble3D val="0"/>
            <c:spPr>
              <a:solidFill>
                <a:schemeClr val="accent1">
                  <a:lumMod val="60000"/>
                </a:schemeClr>
              </a:solidFill>
              <a:ln>
                <a:noFill/>
                <a:prstDash val="solid"/>
              </a:ln>
            </c:spPr>
            <c:extLst>
              <c:ext xmlns:c16="http://schemas.microsoft.com/office/drawing/2014/chart" uri="{C3380CC4-5D6E-409C-BE32-E72D297353CC}">
                <c16:uniqueId val="{0000000D-9175-4E75-8D64-B909D493E605}"/>
              </c:ext>
            </c:extLst>
          </c:dPt>
          <c:dPt>
            <c:idx val="7"/>
            <c:bubble3D val="0"/>
            <c:spPr>
              <a:solidFill>
                <a:schemeClr val="accent2">
                  <a:lumMod val="60000"/>
                </a:schemeClr>
              </a:solidFill>
              <a:ln>
                <a:noFill/>
                <a:prstDash val="solid"/>
              </a:ln>
            </c:spPr>
            <c:extLst>
              <c:ext xmlns:c16="http://schemas.microsoft.com/office/drawing/2014/chart" uri="{C3380CC4-5D6E-409C-BE32-E72D297353CC}">
                <c16:uniqueId val="{0000000F-9175-4E75-8D64-B909D493E605}"/>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Metrics!$B$2:$B$9</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Metrics!$D$2:$D$9</c:f>
              <c:numCache>
                <c:formatCode>0%</c:formatCode>
                <c:ptCount val="8"/>
                <c:pt idx="0">
                  <c:v>0</c:v>
                </c:pt>
                <c:pt idx="1">
                  <c:v>0</c:v>
                </c:pt>
                <c:pt idx="2">
                  <c:v>0</c:v>
                </c:pt>
                <c:pt idx="3">
                  <c:v>0</c:v>
                </c:pt>
                <c:pt idx="4">
                  <c:v>0.92592592592592593</c:v>
                </c:pt>
                <c:pt idx="5">
                  <c:v>7.407407407407407E-2</c:v>
                </c:pt>
                <c:pt idx="6">
                  <c:v>0</c:v>
                </c:pt>
                <c:pt idx="7">
                  <c:v>0</c:v>
                </c:pt>
              </c:numCache>
            </c:numRef>
          </c:val>
          <c:extLst>
            <c:ext xmlns:c16="http://schemas.microsoft.com/office/drawing/2014/chart" uri="{C3380CC4-5D6E-409C-BE32-E72D297353CC}">
              <c16:uniqueId val="{00000010-9175-4E75-8D64-B909D493E605}"/>
            </c:ext>
          </c:extLst>
        </c:ser>
        <c:dLbls>
          <c:dLblPos val="ctr"/>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GB"/>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1E09-4BC6-9837-B6A40FFADE1F}"/>
              </c:ext>
            </c:extLst>
          </c:dPt>
          <c:dPt>
            <c:idx val="1"/>
            <c:bubble3D val="0"/>
            <c:spPr>
              <a:solidFill>
                <a:schemeClr val="accent2"/>
              </a:solidFill>
              <a:ln>
                <a:noFill/>
                <a:prstDash val="solid"/>
              </a:ln>
            </c:spPr>
            <c:extLst>
              <c:ext xmlns:c16="http://schemas.microsoft.com/office/drawing/2014/chart" uri="{C3380CC4-5D6E-409C-BE32-E72D297353CC}">
                <c16:uniqueId val="{00000003-1E09-4BC6-9837-B6A40FFADE1F}"/>
              </c:ext>
            </c:extLst>
          </c:dPt>
          <c:dPt>
            <c:idx val="2"/>
            <c:bubble3D val="0"/>
            <c:spPr>
              <a:solidFill>
                <a:schemeClr val="accent3"/>
              </a:solidFill>
              <a:ln>
                <a:noFill/>
                <a:prstDash val="solid"/>
              </a:ln>
            </c:spPr>
            <c:extLst>
              <c:ext xmlns:c16="http://schemas.microsoft.com/office/drawing/2014/chart" uri="{C3380CC4-5D6E-409C-BE32-E72D297353CC}">
                <c16:uniqueId val="{00000005-1E09-4BC6-9837-B6A40FFADE1F}"/>
              </c:ext>
            </c:extLst>
          </c:dPt>
          <c:dPt>
            <c:idx val="3"/>
            <c:bubble3D val="0"/>
            <c:spPr>
              <a:solidFill>
                <a:schemeClr val="accent4"/>
              </a:solidFill>
              <a:ln>
                <a:noFill/>
                <a:prstDash val="solid"/>
              </a:ln>
            </c:spPr>
            <c:extLst>
              <c:ext xmlns:c16="http://schemas.microsoft.com/office/drawing/2014/chart" uri="{C3380CC4-5D6E-409C-BE32-E72D297353CC}">
                <c16:uniqueId val="{00000007-1E09-4BC6-9837-B6A40FFADE1F}"/>
              </c:ext>
            </c:extLst>
          </c:dPt>
          <c:dPt>
            <c:idx val="4"/>
            <c:bubble3D val="0"/>
            <c:spPr>
              <a:solidFill>
                <a:schemeClr val="accent5"/>
              </a:solidFill>
              <a:ln>
                <a:noFill/>
                <a:prstDash val="solid"/>
              </a:ln>
            </c:spPr>
            <c:extLst>
              <c:ext xmlns:c16="http://schemas.microsoft.com/office/drawing/2014/chart" uri="{C3380CC4-5D6E-409C-BE32-E72D297353CC}">
                <c16:uniqueId val="{00000009-1E09-4BC6-9837-B6A40FFADE1F}"/>
              </c:ext>
            </c:extLst>
          </c:dPt>
          <c:dPt>
            <c:idx val="5"/>
            <c:bubble3D val="0"/>
            <c:spPr>
              <a:solidFill>
                <a:schemeClr val="accent6"/>
              </a:solidFill>
              <a:ln>
                <a:noFill/>
                <a:prstDash val="solid"/>
              </a:ln>
            </c:spPr>
            <c:extLst>
              <c:ext xmlns:c16="http://schemas.microsoft.com/office/drawing/2014/chart" uri="{C3380CC4-5D6E-409C-BE32-E72D297353CC}">
                <c16:uniqueId val="{0000000B-1E09-4BC6-9837-B6A40FFADE1F}"/>
              </c:ext>
            </c:extLst>
          </c:dPt>
          <c:dPt>
            <c:idx val="6"/>
            <c:bubble3D val="0"/>
            <c:spPr>
              <a:solidFill>
                <a:schemeClr val="accent1">
                  <a:lumMod val="60000"/>
                </a:schemeClr>
              </a:solidFill>
              <a:ln>
                <a:noFill/>
                <a:prstDash val="solid"/>
              </a:ln>
            </c:spPr>
            <c:extLst>
              <c:ext xmlns:c16="http://schemas.microsoft.com/office/drawing/2014/chart" uri="{C3380CC4-5D6E-409C-BE32-E72D297353CC}">
                <c16:uniqueId val="{0000000D-1E09-4BC6-9837-B6A40FFADE1F}"/>
              </c:ext>
            </c:extLst>
          </c:dPt>
          <c:dPt>
            <c:idx val="7"/>
            <c:bubble3D val="0"/>
            <c:spPr>
              <a:solidFill>
                <a:schemeClr val="accent2">
                  <a:lumMod val="60000"/>
                </a:schemeClr>
              </a:solidFill>
              <a:ln>
                <a:noFill/>
                <a:prstDash val="solid"/>
              </a:ln>
            </c:spPr>
            <c:extLst>
              <c:ext xmlns:c16="http://schemas.microsoft.com/office/drawing/2014/chart" uri="{C3380CC4-5D6E-409C-BE32-E72D297353CC}">
                <c16:uniqueId val="{0000000F-1E09-4BC6-9837-B6A40FFADE1F}"/>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Metrics!$B$2:$B$9</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Metrics!$E$2:$E$9</c:f>
              <c:numCache>
                <c:formatCode>0%</c:formatCode>
                <c:ptCount val="8"/>
                <c:pt idx="0">
                  <c:v>0</c:v>
                </c:pt>
                <c:pt idx="1">
                  <c:v>0</c:v>
                </c:pt>
                <c:pt idx="2">
                  <c:v>6.4516129032258063E-2</c:v>
                </c:pt>
                <c:pt idx="3">
                  <c:v>0.1182795698924731</c:v>
                </c:pt>
                <c:pt idx="4">
                  <c:v>0.67741935483870963</c:v>
                </c:pt>
                <c:pt idx="5">
                  <c:v>4.3010752688172053E-2</c:v>
                </c:pt>
                <c:pt idx="6">
                  <c:v>0</c:v>
                </c:pt>
                <c:pt idx="7">
                  <c:v>9.6774193548387094E-2</c:v>
                </c:pt>
              </c:numCache>
            </c:numRef>
          </c:val>
          <c:extLst>
            <c:ext xmlns:c16="http://schemas.microsoft.com/office/drawing/2014/chart" uri="{C3380CC4-5D6E-409C-BE32-E72D297353CC}">
              <c16:uniqueId val="{00000010-1E09-4BC6-9837-B6A40FFADE1F}"/>
            </c:ext>
          </c:extLst>
        </c:ser>
        <c:dLbls>
          <c:dLblPos val="ctr"/>
          <c:showLegendKey val="0"/>
          <c:showVal val="0"/>
          <c:showCatName val="0"/>
          <c:showSerName val="0"/>
          <c:showPercent val="1"/>
          <c:showBubbleSize val="0"/>
          <c:showLeaderLines val="1"/>
        </c:dLbls>
        <c:firstSliceAng val="0"/>
      </c:pie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66675</xdr:colOff>
      <xdr:row>0</xdr:row>
      <xdr:rowOff>123825</xdr:rowOff>
    </xdr:from>
    <xdr:to>
      <xdr:col>1</xdr:col>
      <xdr:colOff>1466850</xdr:colOff>
      <xdr:row>1</xdr:row>
      <xdr:rowOff>57150</xdr:rowOff>
    </xdr:to>
    <xdr:pic>
      <xdr:nvPicPr>
        <xdr:cNvPr id="1025" name="Picture 1">
          <a:hlinkClick xmlns:r="http://schemas.openxmlformats.org/officeDocument/2006/relationships" r:id=""/>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09550" y="123825"/>
          <a:ext cx="1400175" cy="123825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538788</xdr:colOff>
      <xdr:row>0</xdr:row>
      <xdr:rowOff>307879</xdr:rowOff>
    </xdr:from>
    <xdr:to>
      <xdr:col>16</xdr:col>
      <xdr:colOff>615757</xdr:colOff>
      <xdr:row>7</xdr:row>
      <xdr:rowOff>259773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566689</xdr:colOff>
      <xdr:row>8</xdr:row>
      <xdr:rowOff>57727</xdr:rowOff>
    </xdr:from>
    <xdr:to>
      <xdr:col>17</xdr:col>
      <xdr:colOff>76970</xdr:colOff>
      <xdr:row>22</xdr:row>
      <xdr:rowOff>76969</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29" totalsRowShown="0" headerRowDxfId="4" dataDxfId="3">
  <autoFilter ref="A1:C29" xr:uid="{00000000-0009-0000-0100-000001000000}"/>
  <tableColumns count="3">
    <tableColumn id="1" xr3:uid="{00000000-0010-0000-0000-000001000000}" name="Abbreviation" dataDxfId="2"/>
    <tableColumn id="2" xr3:uid="{00000000-0010-0000-0000-000002000000}" name="Meaning" dataDxfId="1"/>
    <tableColumn id="3" xr3:uid="{00000000-0010-0000-0000-000003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so27001security.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8"/>
  <sheetViews>
    <sheetView topLeftCell="B7" zoomScaleNormal="100" workbookViewId="0">
      <selection activeCell="B9" sqref="B9"/>
    </sheetView>
  </sheetViews>
  <sheetFormatPr defaultColWidth="9.1796875" defaultRowHeight="13" x14ac:dyDescent="0.3"/>
  <cols>
    <col min="1" max="1" width="2.1796875" style="2" customWidth="1"/>
    <col min="2" max="2" width="172.7265625" style="2" customWidth="1"/>
    <col min="3" max="5" width="9.1796875" style="2" customWidth="1"/>
    <col min="6" max="16384" width="9.1796875" style="2"/>
  </cols>
  <sheetData>
    <row r="1" spans="2:2" s="4" customFormat="1" ht="102.75" customHeight="1" x14ac:dyDescent="0.3">
      <c r="B1" s="6" t="s">
        <v>57</v>
      </c>
    </row>
    <row r="2" spans="2:2" ht="28.5" customHeight="1" x14ac:dyDescent="0.45">
      <c r="B2" s="7" t="s">
        <v>58</v>
      </c>
    </row>
    <row r="3" spans="2:2" ht="12.75" customHeight="1" x14ac:dyDescent="0.3">
      <c r="B3" s="2" t="s">
        <v>59</v>
      </c>
    </row>
    <row r="4" spans="2:2" ht="43.5" customHeight="1" x14ac:dyDescent="0.3">
      <c r="B4" s="2" t="s">
        <v>60</v>
      </c>
    </row>
    <row r="5" spans="2:2" ht="28.5" customHeight="1" x14ac:dyDescent="0.3">
      <c r="B5" s="2" t="s">
        <v>61</v>
      </c>
    </row>
    <row r="6" spans="2:2" ht="28.5" customHeight="1" x14ac:dyDescent="0.45">
      <c r="B6" s="7" t="s">
        <v>62</v>
      </c>
    </row>
    <row r="7" spans="2:2" ht="30" customHeight="1" x14ac:dyDescent="0.3">
      <c r="B7" s="2" t="s">
        <v>63</v>
      </c>
    </row>
    <row r="8" spans="2:2" ht="39" customHeight="1" x14ac:dyDescent="0.3">
      <c r="B8" s="2" t="s">
        <v>64</v>
      </c>
    </row>
    <row r="9" spans="2:2" ht="17.25" customHeight="1" x14ac:dyDescent="0.3">
      <c r="B9" s="2" t="s">
        <v>65</v>
      </c>
    </row>
    <row r="10" spans="2:2" ht="40.5" customHeight="1" x14ac:dyDescent="0.3">
      <c r="B10" s="2" t="s">
        <v>66</v>
      </c>
    </row>
    <row r="11" spans="2:2" ht="28.5" customHeight="1" x14ac:dyDescent="0.45">
      <c r="B11" s="7" t="s">
        <v>67</v>
      </c>
    </row>
    <row r="12" spans="2:2" ht="14.25" customHeight="1" x14ac:dyDescent="0.3">
      <c r="B12" s="2" t="s">
        <v>68</v>
      </c>
    </row>
    <row r="13" spans="2:2" ht="13.5" customHeight="1" x14ac:dyDescent="0.3">
      <c r="B13" s="2" t="s">
        <v>69</v>
      </c>
    </row>
    <row r="14" spans="2:2" ht="28.5" customHeight="1" x14ac:dyDescent="0.45">
      <c r="B14" s="7" t="s">
        <v>70</v>
      </c>
    </row>
    <row r="15" spans="2:2" ht="39.75" customHeight="1" x14ac:dyDescent="0.3">
      <c r="B15" s="2" t="s">
        <v>71</v>
      </c>
    </row>
    <row r="16" spans="2:2" ht="26.15" customHeight="1" x14ac:dyDescent="0.3">
      <c r="B16" s="3" t="s">
        <v>72</v>
      </c>
    </row>
    <row r="17" spans="2:2" ht="14.25" customHeight="1" x14ac:dyDescent="0.3">
      <c r="B17" s="2" t="s">
        <v>73</v>
      </c>
    </row>
    <row r="18" spans="2:2" ht="27.75" customHeight="1" x14ac:dyDescent="0.45">
      <c r="B18" s="5" t="s">
        <v>74</v>
      </c>
    </row>
  </sheetData>
  <hyperlinks>
    <hyperlink ref="B18" r:id="rId1" xr:uid="{00000000-0004-0000-0000-000000000000}"/>
  </hyperlinks>
  <pageMargins left="0.75" right="0.75" top="1" bottom="1" header="0.51180555555555551" footer="0.51180555555555551"/>
  <pageSetup paperSize="9" firstPageNumber="0"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workbookViewId="0">
      <pane ySplit="1" topLeftCell="A2" activePane="bottomLeft" state="frozen"/>
      <selection pane="bottomLeft" activeCell="C20" sqref="C20"/>
    </sheetView>
  </sheetViews>
  <sheetFormatPr defaultRowHeight="12.5" x14ac:dyDescent="0.25"/>
  <cols>
    <col min="1" max="1" width="11.453125" bestFit="1" customWidth="1"/>
    <col min="2" max="2" width="36" customWidth="1"/>
    <col min="3" max="3" width="61.1796875" customWidth="1"/>
  </cols>
  <sheetData>
    <row r="1" spans="1:4" ht="24" customHeight="1" x14ac:dyDescent="0.3">
      <c r="A1" s="75" t="s">
        <v>0</v>
      </c>
      <c r="B1" s="75" t="s">
        <v>1</v>
      </c>
      <c r="C1" s="75" t="s">
        <v>2</v>
      </c>
      <c r="D1" s="75"/>
    </row>
    <row r="2" spans="1:4" ht="36" customHeight="1" x14ac:dyDescent="0.25">
      <c r="A2" s="75" t="s">
        <v>3</v>
      </c>
      <c r="B2" s="75" t="s">
        <v>4</v>
      </c>
      <c r="C2" s="75" t="s">
        <v>5</v>
      </c>
      <c r="D2" s="75"/>
    </row>
    <row r="3" spans="1:4" x14ac:dyDescent="0.25">
      <c r="A3" s="75" t="s">
        <v>6</v>
      </c>
      <c r="B3" s="75" t="s">
        <v>7</v>
      </c>
      <c r="C3" s="75" t="s">
        <v>8</v>
      </c>
      <c r="D3" s="75"/>
    </row>
    <row r="4" spans="1:4" x14ac:dyDescent="0.25">
      <c r="A4" s="75" t="s">
        <v>9</v>
      </c>
      <c r="B4" s="75" t="s">
        <v>10</v>
      </c>
      <c r="C4" s="75" t="s">
        <v>11</v>
      </c>
      <c r="D4" s="75"/>
    </row>
    <row r="5" spans="1:4" x14ac:dyDescent="0.25">
      <c r="A5" s="75" t="s">
        <v>12</v>
      </c>
      <c r="B5" s="75" t="s">
        <v>13</v>
      </c>
      <c r="C5" s="75" t="s">
        <v>14</v>
      </c>
      <c r="D5" s="75"/>
    </row>
    <row r="6" spans="1:4" x14ac:dyDescent="0.25">
      <c r="A6" s="75" t="s">
        <v>15</v>
      </c>
      <c r="B6" s="75" t="s">
        <v>16</v>
      </c>
      <c r="C6" s="75" t="s">
        <v>17</v>
      </c>
      <c r="D6" s="75"/>
    </row>
    <row r="7" spans="1:4" x14ac:dyDescent="0.25">
      <c r="A7" s="75" t="s">
        <v>18</v>
      </c>
      <c r="B7" s="75" t="s">
        <v>19</v>
      </c>
      <c r="C7" s="75" t="s">
        <v>20</v>
      </c>
      <c r="D7" s="75"/>
    </row>
    <row r="8" spans="1:4" x14ac:dyDescent="0.25">
      <c r="A8" s="75" t="s">
        <v>21</v>
      </c>
      <c r="B8" s="75" t="s">
        <v>22</v>
      </c>
      <c r="C8" s="75" t="s">
        <v>23</v>
      </c>
      <c r="D8" s="75"/>
    </row>
    <row r="9" spans="1:4" x14ac:dyDescent="0.25">
      <c r="A9" s="75" t="s">
        <v>24</v>
      </c>
      <c r="B9" s="75" t="s">
        <v>25</v>
      </c>
      <c r="C9" s="75" t="s">
        <v>26</v>
      </c>
      <c r="D9" s="75"/>
    </row>
    <row r="10" spans="1:4" x14ac:dyDescent="0.25">
      <c r="A10" s="75" t="s">
        <v>27</v>
      </c>
      <c r="B10" s="75" t="s">
        <v>28</v>
      </c>
      <c r="C10" s="75" t="s">
        <v>29</v>
      </c>
      <c r="D10" s="75"/>
    </row>
    <row r="11" spans="1:4" x14ac:dyDescent="0.25">
      <c r="A11" s="75" t="s">
        <v>30</v>
      </c>
      <c r="B11" s="75" t="s">
        <v>31</v>
      </c>
      <c r="C11" s="75" t="s">
        <v>32</v>
      </c>
      <c r="D11" s="75"/>
    </row>
    <row r="12" spans="1:4" ht="25" x14ac:dyDescent="0.25">
      <c r="A12" s="75" t="s">
        <v>33</v>
      </c>
      <c r="B12" s="75" t="s">
        <v>34</v>
      </c>
      <c r="C12" s="75" t="s">
        <v>35</v>
      </c>
      <c r="D12" s="75"/>
    </row>
    <row r="13" spans="1:4" x14ac:dyDescent="0.25">
      <c r="A13" s="75" t="s">
        <v>36</v>
      </c>
      <c r="B13" s="75" t="s">
        <v>37</v>
      </c>
      <c r="C13" s="75" t="s">
        <v>38</v>
      </c>
      <c r="D13" s="75"/>
    </row>
    <row r="14" spans="1:4" x14ac:dyDescent="0.25">
      <c r="A14" s="75" t="s">
        <v>39</v>
      </c>
      <c r="B14" s="75" t="s">
        <v>40</v>
      </c>
      <c r="C14" s="75" t="s">
        <v>41</v>
      </c>
      <c r="D14" s="75"/>
    </row>
    <row r="15" spans="1:4" x14ac:dyDescent="0.25">
      <c r="A15" s="75" t="s">
        <v>42</v>
      </c>
      <c r="B15" s="75" t="s">
        <v>43</v>
      </c>
      <c r="C15" s="75" t="s">
        <v>44</v>
      </c>
      <c r="D15" s="75"/>
    </row>
    <row r="16" spans="1:4" x14ac:dyDescent="0.25">
      <c r="A16" s="75" t="s">
        <v>45</v>
      </c>
      <c r="B16" s="75" t="s">
        <v>46</v>
      </c>
      <c r="C16" s="75" t="s">
        <v>47</v>
      </c>
      <c r="D16" s="75"/>
    </row>
    <row r="17" spans="1:4" x14ac:dyDescent="0.25">
      <c r="A17" s="75" t="s">
        <v>48</v>
      </c>
      <c r="B17" s="75" t="s">
        <v>49</v>
      </c>
      <c r="C17" s="75" t="s">
        <v>50</v>
      </c>
      <c r="D17" s="75"/>
    </row>
    <row r="18" spans="1:4" x14ac:dyDescent="0.25">
      <c r="A18" s="75" t="s">
        <v>51</v>
      </c>
      <c r="B18" s="75" t="s">
        <v>52</v>
      </c>
      <c r="C18" s="75" t="s">
        <v>53</v>
      </c>
      <c r="D18" s="75"/>
    </row>
    <row r="19" spans="1:4" x14ac:dyDescent="0.25">
      <c r="A19" s="75" t="s">
        <v>54</v>
      </c>
      <c r="B19" s="75" t="s">
        <v>55</v>
      </c>
      <c r="C19" s="75" t="s">
        <v>56</v>
      </c>
      <c r="D19" s="75"/>
    </row>
    <row r="20" spans="1:4" x14ac:dyDescent="0.25">
      <c r="A20" s="75"/>
      <c r="B20" s="75"/>
      <c r="C20" s="75"/>
      <c r="D20" s="75"/>
    </row>
    <row r="21" spans="1:4" x14ac:dyDescent="0.25">
      <c r="A21" s="75"/>
      <c r="B21" s="75"/>
      <c r="C21" s="75"/>
      <c r="D21" s="75"/>
    </row>
    <row r="22" spans="1:4" x14ac:dyDescent="0.25">
      <c r="A22" s="75"/>
      <c r="B22" s="75"/>
      <c r="C22" s="75"/>
      <c r="D22" s="75"/>
    </row>
    <row r="23" spans="1:4" x14ac:dyDescent="0.25">
      <c r="A23" s="75"/>
      <c r="B23" s="75"/>
      <c r="C23" s="75"/>
      <c r="D23" s="75"/>
    </row>
    <row r="24" spans="1:4" x14ac:dyDescent="0.25">
      <c r="A24" s="75"/>
      <c r="B24" s="75"/>
      <c r="C24" s="75"/>
      <c r="D24" s="75"/>
    </row>
    <row r="25" spans="1:4" x14ac:dyDescent="0.25">
      <c r="A25" s="75"/>
      <c r="B25" s="75"/>
      <c r="C25" s="75"/>
      <c r="D25" s="75"/>
    </row>
    <row r="26" spans="1:4" x14ac:dyDescent="0.25">
      <c r="A26" s="75"/>
      <c r="B26" s="75"/>
      <c r="C26" s="75"/>
      <c r="D26" s="75"/>
    </row>
    <row r="27" spans="1:4" x14ac:dyDescent="0.25">
      <c r="A27" s="75"/>
      <c r="B27" s="75"/>
      <c r="C27" s="75"/>
      <c r="D27" s="75"/>
    </row>
    <row r="28" spans="1:4" x14ac:dyDescent="0.25">
      <c r="A28" s="75"/>
      <c r="B28" s="75"/>
      <c r="C28" s="75"/>
      <c r="D28" s="75"/>
    </row>
    <row r="29" spans="1:4" x14ac:dyDescent="0.25">
      <c r="A29" s="75"/>
      <c r="B29" s="75"/>
      <c r="C29" s="75"/>
      <c r="D29" s="75"/>
    </row>
    <row r="30" spans="1:4" x14ac:dyDescent="0.25">
      <c r="A30" s="75"/>
      <c r="B30" s="75"/>
      <c r="C30" s="75"/>
      <c r="D30" s="7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72"/>
  <sheetViews>
    <sheetView topLeftCell="D1" zoomScale="106" zoomScaleNormal="106" workbookViewId="0">
      <pane ySplit="2" topLeftCell="A77" activePane="bottomLeft" state="frozen"/>
      <selection pane="bottomLeft" activeCell="E16" sqref="E16"/>
    </sheetView>
  </sheetViews>
  <sheetFormatPr defaultColWidth="8.7265625" defaultRowHeight="18.25" customHeight="1" x14ac:dyDescent="0.35"/>
  <cols>
    <col min="1" max="1" width="1.1796875" style="14" customWidth="1"/>
    <col min="2" max="2" width="8.81640625" style="13" bestFit="1" customWidth="1"/>
    <col min="3" max="3" width="75.54296875" style="14" bestFit="1" customWidth="1"/>
    <col min="4" max="4" width="10.1796875" style="14" bestFit="1" customWidth="1"/>
    <col min="5" max="5" width="255.54296875" style="14" bestFit="1" customWidth="1"/>
    <col min="6" max="8" width="8.7265625" style="14" customWidth="1"/>
    <col min="9" max="16384" width="8.7265625" style="14"/>
  </cols>
  <sheetData>
    <row r="1" spans="2:32" s="27" customFormat="1" ht="45.75" customHeight="1" thickBot="1" x14ac:dyDescent="0.3">
      <c r="B1" s="80" t="s">
        <v>75</v>
      </c>
      <c r="C1" s="81"/>
      <c r="D1" s="81"/>
      <c r="E1" s="82"/>
    </row>
    <row r="2" spans="2:32" s="13" customFormat="1" ht="21.75" customHeight="1" x14ac:dyDescent="0.5">
      <c r="B2" s="35" t="s">
        <v>76</v>
      </c>
      <c r="C2" s="36" t="s">
        <v>77</v>
      </c>
      <c r="D2" s="36" t="s">
        <v>78</v>
      </c>
      <c r="E2" s="37" t="s">
        <v>2</v>
      </c>
    </row>
    <row r="3" spans="2:32" s="9" customFormat="1" ht="39.65" customHeight="1" x14ac:dyDescent="0.55000000000000004">
      <c r="B3" s="38">
        <v>4</v>
      </c>
      <c r="C3" s="8" t="s">
        <v>79</v>
      </c>
      <c r="D3" s="8"/>
      <c r="E3" s="39"/>
    </row>
    <row r="4" spans="2:32" s="25" customFormat="1" ht="22.5" customHeight="1" x14ac:dyDescent="0.35">
      <c r="B4" s="40">
        <v>4.0999999999999996</v>
      </c>
      <c r="C4" s="30" t="s">
        <v>80</v>
      </c>
      <c r="D4" s="31"/>
      <c r="E4" s="41"/>
      <c r="F4" s="26"/>
      <c r="G4" s="26"/>
      <c r="H4" s="26"/>
      <c r="I4" s="26"/>
      <c r="J4" s="26"/>
      <c r="K4" s="26"/>
      <c r="L4" s="26"/>
      <c r="M4" s="26"/>
      <c r="N4" s="26"/>
      <c r="O4" s="26"/>
      <c r="P4" s="26"/>
      <c r="Q4" s="26"/>
      <c r="R4" s="26"/>
      <c r="S4" s="26"/>
      <c r="T4" s="26"/>
      <c r="U4" s="26"/>
      <c r="V4" s="26"/>
      <c r="W4" s="26"/>
      <c r="X4" s="26"/>
      <c r="Y4" s="26"/>
      <c r="Z4" s="26"/>
      <c r="AA4" s="26"/>
      <c r="AB4" s="26"/>
      <c r="AC4" s="26"/>
      <c r="AD4" s="26"/>
      <c r="AE4" s="26"/>
      <c r="AF4" s="26"/>
    </row>
    <row r="5" spans="2:32" s="23" customFormat="1" ht="22.5" customHeight="1" x14ac:dyDescent="0.25">
      <c r="B5" s="42">
        <v>4.0999999999999996</v>
      </c>
      <c r="C5" s="24" t="s">
        <v>81</v>
      </c>
      <c r="D5" s="32" t="s">
        <v>82</v>
      </c>
      <c r="E5" s="43" t="s">
        <v>83</v>
      </c>
    </row>
    <row r="6" spans="2:32" s="25" customFormat="1" ht="22.5" customHeight="1" x14ac:dyDescent="0.35">
      <c r="B6" s="40">
        <v>4.2</v>
      </c>
      <c r="C6" s="30" t="s">
        <v>84</v>
      </c>
      <c r="D6" s="33"/>
      <c r="E6" s="41"/>
      <c r="F6" s="26"/>
      <c r="G6" s="26"/>
      <c r="H6" s="26"/>
      <c r="I6" s="26"/>
      <c r="J6" s="26"/>
      <c r="K6" s="26"/>
      <c r="L6" s="26"/>
      <c r="M6" s="26"/>
      <c r="N6" s="26"/>
      <c r="O6" s="26"/>
      <c r="P6" s="26"/>
      <c r="Q6" s="26"/>
      <c r="R6" s="26"/>
      <c r="S6" s="26"/>
      <c r="T6" s="26"/>
      <c r="U6" s="26"/>
      <c r="V6" s="26"/>
      <c r="W6" s="26"/>
      <c r="X6" s="26"/>
      <c r="Y6" s="26"/>
      <c r="Z6" s="26"/>
      <c r="AA6" s="26"/>
      <c r="AB6" s="26"/>
      <c r="AC6" s="26"/>
      <c r="AD6" s="26"/>
      <c r="AE6" s="26"/>
      <c r="AF6" s="26"/>
    </row>
    <row r="7" spans="2:32" s="23" customFormat="1" ht="22.5" customHeight="1" x14ac:dyDescent="0.25">
      <c r="B7" s="42" t="s">
        <v>85</v>
      </c>
      <c r="C7" s="24" t="s">
        <v>86</v>
      </c>
      <c r="D7" s="32" t="s">
        <v>87</v>
      </c>
      <c r="E7" s="43" t="s">
        <v>88</v>
      </c>
    </row>
    <row r="8" spans="2:32" s="23" customFormat="1" ht="22.5" customHeight="1" x14ac:dyDescent="0.25">
      <c r="B8" s="42" t="s">
        <v>89</v>
      </c>
      <c r="C8" s="24" t="s">
        <v>90</v>
      </c>
      <c r="D8" s="32" t="s">
        <v>87</v>
      </c>
      <c r="E8" s="43" t="s">
        <v>91</v>
      </c>
    </row>
    <row r="9" spans="2:32" s="25" customFormat="1" ht="22.5" customHeight="1" x14ac:dyDescent="0.35">
      <c r="B9" s="40">
        <v>4.3</v>
      </c>
      <c r="C9" s="30" t="s">
        <v>92</v>
      </c>
      <c r="D9" s="33"/>
      <c r="E9" s="41"/>
      <c r="F9" s="26"/>
      <c r="G9" s="26"/>
      <c r="H9" s="26"/>
      <c r="I9" s="26"/>
      <c r="J9" s="26"/>
      <c r="K9" s="26"/>
      <c r="L9" s="26"/>
      <c r="M9" s="26"/>
      <c r="N9" s="26"/>
      <c r="O9" s="26"/>
      <c r="P9" s="26"/>
      <c r="Q9" s="26"/>
      <c r="R9" s="26"/>
      <c r="S9" s="26"/>
      <c r="T9" s="26"/>
      <c r="U9" s="26"/>
      <c r="V9" s="26"/>
      <c r="W9" s="26"/>
      <c r="X9" s="26"/>
      <c r="Y9" s="26"/>
      <c r="Z9" s="26"/>
      <c r="AA9" s="26"/>
      <c r="AB9" s="26"/>
      <c r="AC9" s="26"/>
      <c r="AD9" s="26"/>
      <c r="AE9" s="26"/>
      <c r="AF9" s="26"/>
    </row>
    <row r="10" spans="2:32" s="23" customFormat="1" ht="22.5" customHeight="1" x14ac:dyDescent="0.25">
      <c r="B10" s="42">
        <v>4.3</v>
      </c>
      <c r="C10" s="24" t="s">
        <v>93</v>
      </c>
      <c r="D10" s="32" t="s">
        <v>82</v>
      </c>
      <c r="E10" s="43" t="s">
        <v>94</v>
      </c>
    </row>
    <row r="11" spans="2:32" s="25" customFormat="1" ht="22.5" customHeight="1" x14ac:dyDescent="0.35">
      <c r="B11" s="40">
        <v>4.4000000000000004</v>
      </c>
      <c r="C11" s="30" t="s">
        <v>95</v>
      </c>
      <c r="D11" s="33"/>
      <c r="E11" s="41"/>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row>
    <row r="12" spans="2:32" s="23" customFormat="1" ht="22.5" customHeight="1" x14ac:dyDescent="0.25">
      <c r="B12" s="42">
        <v>4.4000000000000004</v>
      </c>
      <c r="C12" s="24" t="s">
        <v>96</v>
      </c>
      <c r="D12" s="32" t="s">
        <v>82</v>
      </c>
      <c r="E12" s="43" t="s">
        <v>97</v>
      </c>
    </row>
    <row r="13" spans="2:32" s="9" customFormat="1" ht="39.65" customHeight="1" x14ac:dyDescent="0.55000000000000004">
      <c r="B13" s="38">
        <v>5</v>
      </c>
      <c r="C13" s="10" t="s">
        <v>98</v>
      </c>
      <c r="D13" s="34"/>
      <c r="E13" s="44"/>
    </row>
    <row r="14" spans="2:32" s="25" customFormat="1" ht="22.5" customHeight="1" x14ac:dyDescent="0.35">
      <c r="B14" s="40">
        <v>5.0999999999999996</v>
      </c>
      <c r="C14" s="30" t="s">
        <v>99</v>
      </c>
      <c r="D14" s="33"/>
      <c r="E14" s="41"/>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row>
    <row r="15" spans="2:32" s="23" customFormat="1" ht="22.5" customHeight="1" x14ac:dyDescent="0.25">
      <c r="B15" s="42">
        <v>5.0999999999999996</v>
      </c>
      <c r="C15" s="24" t="s">
        <v>100</v>
      </c>
      <c r="D15" s="32" t="s">
        <v>82</v>
      </c>
      <c r="E15" s="43" t="s">
        <v>101</v>
      </c>
    </row>
    <row r="16" spans="2:32" s="25" customFormat="1" ht="22.5" customHeight="1" x14ac:dyDescent="0.35">
      <c r="B16" s="40">
        <v>5.2</v>
      </c>
      <c r="C16" s="30" t="s">
        <v>102</v>
      </c>
      <c r="D16" s="33"/>
      <c r="E16" s="41"/>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row>
    <row r="17" spans="2:32" s="23" customFormat="1" ht="22.5" customHeight="1" x14ac:dyDescent="0.25">
      <c r="B17" s="42">
        <v>5.2</v>
      </c>
      <c r="C17" s="24" t="s">
        <v>103</v>
      </c>
      <c r="D17" s="32" t="s">
        <v>82</v>
      </c>
      <c r="E17" s="43" t="s">
        <v>104</v>
      </c>
    </row>
    <row r="18" spans="2:32" s="25" customFormat="1" ht="22.5" customHeight="1" x14ac:dyDescent="0.35">
      <c r="B18" s="40">
        <v>5.3</v>
      </c>
      <c r="C18" s="30" t="s">
        <v>105</v>
      </c>
      <c r="D18" s="33"/>
      <c r="E18" s="41"/>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row>
    <row r="19" spans="2:32" s="23" customFormat="1" ht="22.5" customHeight="1" x14ac:dyDescent="0.25">
      <c r="B19" s="42">
        <v>5.3</v>
      </c>
      <c r="C19" s="24" t="s">
        <v>106</v>
      </c>
      <c r="D19" s="32" t="s">
        <v>82</v>
      </c>
      <c r="E19" s="43" t="s">
        <v>107</v>
      </c>
    </row>
    <row r="20" spans="2:32" s="9" customFormat="1" ht="39.65" customHeight="1" x14ac:dyDescent="0.55000000000000004">
      <c r="B20" s="38">
        <v>6</v>
      </c>
      <c r="C20" s="10" t="s">
        <v>108</v>
      </c>
      <c r="D20" s="34"/>
      <c r="E20" s="44"/>
    </row>
    <row r="21" spans="2:32" s="25" customFormat="1" ht="22.5" customHeight="1" x14ac:dyDescent="0.35">
      <c r="B21" s="40">
        <v>6.1</v>
      </c>
      <c r="C21" s="30" t="s">
        <v>109</v>
      </c>
      <c r="D21" s="33"/>
      <c r="E21" s="41"/>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row>
    <row r="22" spans="2:32" s="23" customFormat="1" ht="22.5" customHeight="1" collapsed="1" x14ac:dyDescent="0.25">
      <c r="B22" s="42" t="s">
        <v>110</v>
      </c>
      <c r="C22" s="24" t="s">
        <v>111</v>
      </c>
      <c r="D22" s="32" t="s">
        <v>82</v>
      </c>
      <c r="E22" s="43" t="s">
        <v>112</v>
      </c>
    </row>
    <row r="23" spans="2:32" s="23" customFormat="1" ht="22.5" customHeight="1" collapsed="1" x14ac:dyDescent="0.25">
      <c r="B23" s="42" t="s">
        <v>113</v>
      </c>
      <c r="C23" s="24" t="s">
        <v>114</v>
      </c>
      <c r="D23" s="32" t="s">
        <v>82</v>
      </c>
      <c r="E23" s="43" t="s">
        <v>115</v>
      </c>
    </row>
    <row r="24" spans="2:32" s="23" customFormat="1" ht="22.5" customHeight="1" collapsed="1" x14ac:dyDescent="0.25">
      <c r="B24" s="42" t="s">
        <v>116</v>
      </c>
      <c r="C24" s="24" t="s">
        <v>117</v>
      </c>
      <c r="D24" s="32" t="s">
        <v>82</v>
      </c>
      <c r="E24" s="43" t="s">
        <v>118</v>
      </c>
    </row>
    <row r="25" spans="2:32" s="25" customFormat="1" ht="22.5" customHeight="1" x14ac:dyDescent="0.35">
      <c r="B25" s="40">
        <v>6.2</v>
      </c>
      <c r="C25" s="30" t="s">
        <v>119</v>
      </c>
      <c r="D25" s="33"/>
      <c r="E25" s="41"/>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row>
    <row r="26" spans="2:32" s="23" customFormat="1" ht="22.5" customHeight="1" collapsed="1" x14ac:dyDescent="0.25">
      <c r="B26" s="42">
        <v>6.2</v>
      </c>
      <c r="C26" s="24" t="s">
        <v>120</v>
      </c>
      <c r="D26" s="32" t="s">
        <v>82</v>
      </c>
      <c r="E26" s="43" t="s">
        <v>121</v>
      </c>
    </row>
    <row r="27" spans="2:32" s="12" customFormat="1" ht="39.65" customHeight="1" x14ac:dyDescent="0.55000000000000004">
      <c r="B27" s="38">
        <v>7</v>
      </c>
      <c r="C27" s="10" t="s">
        <v>122</v>
      </c>
      <c r="D27" s="34"/>
      <c r="E27" s="44"/>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row>
    <row r="28" spans="2:32" s="25" customFormat="1" ht="22.5" customHeight="1" x14ac:dyDescent="0.35">
      <c r="B28" s="40">
        <v>7.1</v>
      </c>
      <c r="C28" s="30" t="s">
        <v>123</v>
      </c>
      <c r="D28" s="33"/>
      <c r="E28" s="41"/>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2:32" s="23" customFormat="1" ht="22.5" customHeight="1" collapsed="1" x14ac:dyDescent="0.25">
      <c r="B29" s="42">
        <v>7.1</v>
      </c>
      <c r="C29" s="24" t="s">
        <v>124</v>
      </c>
      <c r="D29" s="32" t="s">
        <v>82</v>
      </c>
      <c r="E29" s="43" t="s">
        <v>125</v>
      </c>
    </row>
    <row r="30" spans="2:32" s="25" customFormat="1" ht="22.5" customHeight="1" x14ac:dyDescent="0.35">
      <c r="B30" s="40">
        <v>7.2</v>
      </c>
      <c r="C30" s="30" t="s">
        <v>126</v>
      </c>
      <c r="D30" s="33"/>
      <c r="E30" s="41"/>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row>
    <row r="31" spans="2:32" s="23" customFormat="1" ht="22.5" customHeight="1" collapsed="1" x14ac:dyDescent="0.25">
      <c r="B31" s="42">
        <v>7.2</v>
      </c>
      <c r="C31" s="24" t="s">
        <v>127</v>
      </c>
      <c r="D31" s="32" t="s">
        <v>82</v>
      </c>
      <c r="E31" s="43" t="s">
        <v>128</v>
      </c>
    </row>
    <row r="32" spans="2:32" s="25" customFormat="1" ht="22.5" customHeight="1" x14ac:dyDescent="0.35">
      <c r="B32" s="40">
        <v>7.3</v>
      </c>
      <c r="C32" s="30" t="s">
        <v>129</v>
      </c>
      <c r="D32" s="33"/>
      <c r="E32" s="41"/>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row>
    <row r="33" spans="2:32" s="23" customFormat="1" ht="22.5" customHeight="1" collapsed="1" x14ac:dyDescent="0.25">
      <c r="B33" s="42">
        <v>7.3</v>
      </c>
      <c r="C33" s="24" t="s">
        <v>130</v>
      </c>
      <c r="D33" s="32" t="s">
        <v>82</v>
      </c>
      <c r="E33" s="43" t="s">
        <v>131</v>
      </c>
    </row>
    <row r="34" spans="2:32" s="25" customFormat="1" ht="22.5" customHeight="1" x14ac:dyDescent="0.35">
      <c r="B34" s="40">
        <v>7.4</v>
      </c>
      <c r="C34" s="30" t="s">
        <v>132</v>
      </c>
      <c r="D34" s="33"/>
      <c r="E34" s="41"/>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row>
    <row r="35" spans="2:32" s="23" customFormat="1" ht="22.5" customHeight="1" collapsed="1" x14ac:dyDescent="0.25">
      <c r="B35" s="42">
        <v>7.4</v>
      </c>
      <c r="C35" s="24" t="s">
        <v>133</v>
      </c>
      <c r="D35" s="32" t="s">
        <v>82</v>
      </c>
      <c r="E35" s="43" t="s">
        <v>134</v>
      </c>
    </row>
    <row r="36" spans="2:32" s="25" customFormat="1" ht="22.5" customHeight="1" x14ac:dyDescent="0.35">
      <c r="B36" s="40">
        <v>7.5</v>
      </c>
      <c r="C36" s="30" t="s">
        <v>135</v>
      </c>
      <c r="D36" s="33"/>
      <c r="E36" s="41"/>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row>
    <row r="37" spans="2:32" s="23" customFormat="1" ht="22.5" customHeight="1" collapsed="1" x14ac:dyDescent="0.25">
      <c r="B37" s="42" t="s">
        <v>136</v>
      </c>
      <c r="C37" s="24" t="s">
        <v>137</v>
      </c>
      <c r="D37" s="32" t="s">
        <v>82</v>
      </c>
      <c r="E37" s="43" t="s">
        <v>138</v>
      </c>
    </row>
    <row r="38" spans="2:32" s="23" customFormat="1" ht="22.5" customHeight="1" collapsed="1" x14ac:dyDescent="0.25">
      <c r="B38" s="42" t="s">
        <v>139</v>
      </c>
      <c r="C38" s="24" t="s">
        <v>140</v>
      </c>
      <c r="D38" s="32" t="s">
        <v>82</v>
      </c>
      <c r="E38" s="43" t="s">
        <v>141</v>
      </c>
    </row>
    <row r="39" spans="2:32" s="23" customFormat="1" ht="22.5" customHeight="1" collapsed="1" x14ac:dyDescent="0.25">
      <c r="B39" s="42" t="s">
        <v>142</v>
      </c>
      <c r="C39" s="24" t="s">
        <v>143</v>
      </c>
      <c r="D39" s="32" t="s">
        <v>82</v>
      </c>
      <c r="E39" s="43" t="s">
        <v>144</v>
      </c>
    </row>
    <row r="40" spans="2:32" s="12" customFormat="1" ht="39.65" customHeight="1" x14ac:dyDescent="0.55000000000000004">
      <c r="B40" s="38">
        <v>8</v>
      </c>
      <c r="C40" s="10" t="s">
        <v>145</v>
      </c>
      <c r="D40" s="34"/>
      <c r="E40" s="44"/>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row>
    <row r="41" spans="2:32" s="25" customFormat="1" ht="22.5" customHeight="1" x14ac:dyDescent="0.35">
      <c r="B41" s="40">
        <v>8.1</v>
      </c>
      <c r="C41" s="30" t="s">
        <v>146</v>
      </c>
      <c r="D41" s="33"/>
      <c r="E41" s="41"/>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row>
    <row r="42" spans="2:32" s="23" customFormat="1" ht="22.5" customHeight="1" collapsed="1" x14ac:dyDescent="0.25">
      <c r="B42" s="42">
        <v>8.1</v>
      </c>
      <c r="C42" s="24" t="s">
        <v>147</v>
      </c>
      <c r="D42" s="32" t="s">
        <v>82</v>
      </c>
      <c r="E42" s="43" t="s">
        <v>148</v>
      </c>
    </row>
    <row r="43" spans="2:32" s="25" customFormat="1" ht="22.5" customHeight="1" x14ac:dyDescent="0.35">
      <c r="B43" s="40">
        <v>8.1999999999999993</v>
      </c>
      <c r="C43" s="30" t="s">
        <v>149</v>
      </c>
      <c r="D43" s="33"/>
      <c r="E43" s="41"/>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row>
    <row r="44" spans="2:32" s="23" customFormat="1" ht="22.5" customHeight="1" collapsed="1" x14ac:dyDescent="0.25">
      <c r="B44" s="42">
        <v>8.1999999999999993</v>
      </c>
      <c r="C44" s="24" t="s">
        <v>150</v>
      </c>
      <c r="D44" s="32" t="s">
        <v>82</v>
      </c>
      <c r="E44" s="43" t="s">
        <v>151</v>
      </c>
    </row>
    <row r="45" spans="2:32" s="25" customFormat="1" ht="22.5" customHeight="1" x14ac:dyDescent="0.35">
      <c r="B45" s="40">
        <v>8.3000000000000007</v>
      </c>
      <c r="C45" s="30" t="s">
        <v>152</v>
      </c>
      <c r="D45" s="33"/>
      <c r="E45" s="41"/>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row>
    <row r="46" spans="2:32" s="23" customFormat="1" ht="22.5" customHeight="1" collapsed="1" x14ac:dyDescent="0.25">
      <c r="B46" s="42">
        <v>8.3000000000000007</v>
      </c>
      <c r="C46" s="24" t="s">
        <v>153</v>
      </c>
      <c r="D46" s="32" t="s">
        <v>82</v>
      </c>
      <c r="E46" s="43" t="s">
        <v>154</v>
      </c>
    </row>
    <row r="47" spans="2:32" s="12" customFormat="1" ht="39.65" customHeight="1" x14ac:dyDescent="0.55000000000000004">
      <c r="B47" s="38">
        <v>9</v>
      </c>
      <c r="C47" s="10" t="s">
        <v>155</v>
      </c>
      <c r="D47" s="34"/>
      <c r="E47" s="44"/>
    </row>
    <row r="48" spans="2:32" s="25" customFormat="1" ht="22.5" customHeight="1" x14ac:dyDescent="0.35">
      <c r="B48" s="40">
        <v>9.1</v>
      </c>
      <c r="C48" s="30" t="s">
        <v>156</v>
      </c>
      <c r="D48" s="33"/>
      <c r="E48" s="41"/>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row>
    <row r="49" spans="1:32" s="23" customFormat="1" ht="22.5" customHeight="1" collapsed="1" x14ac:dyDescent="0.25">
      <c r="B49" s="42">
        <v>9.1</v>
      </c>
      <c r="C49" s="24" t="s">
        <v>157</v>
      </c>
      <c r="D49" s="32" t="s">
        <v>82</v>
      </c>
      <c r="E49" s="43" t="s">
        <v>158</v>
      </c>
    </row>
    <row r="50" spans="1:32" s="25" customFormat="1" ht="22.5" customHeight="1" x14ac:dyDescent="0.35">
      <c r="B50" s="40">
        <v>9.1999999999999993</v>
      </c>
      <c r="C50" s="30" t="s">
        <v>159</v>
      </c>
      <c r="D50" s="33"/>
      <c r="E50" s="41"/>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row>
    <row r="51" spans="1:32" s="23" customFormat="1" ht="22.5" customHeight="1" collapsed="1" x14ac:dyDescent="0.25">
      <c r="B51" s="42">
        <v>9.1999999999999993</v>
      </c>
      <c r="C51" s="24" t="s">
        <v>160</v>
      </c>
      <c r="D51" s="32" t="s">
        <v>82</v>
      </c>
      <c r="E51" s="43" t="s">
        <v>161</v>
      </c>
    </row>
    <row r="52" spans="1:32" s="25" customFormat="1" ht="22.5" customHeight="1" x14ac:dyDescent="0.35">
      <c r="B52" s="40">
        <v>9.3000000000000007</v>
      </c>
      <c r="C52" s="30" t="s">
        <v>162</v>
      </c>
      <c r="D52" s="33"/>
      <c r="E52" s="41"/>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row>
    <row r="53" spans="1:32" s="23" customFormat="1" ht="22.5" customHeight="1" collapsed="1" x14ac:dyDescent="0.25">
      <c r="B53" s="42">
        <v>9.3000000000000007</v>
      </c>
      <c r="C53" s="24" t="s">
        <v>163</v>
      </c>
      <c r="D53" s="32" t="s">
        <v>82</v>
      </c>
      <c r="E53" s="43" t="s">
        <v>164</v>
      </c>
    </row>
    <row r="54" spans="1:32" s="12" customFormat="1" ht="39.65" customHeight="1" x14ac:dyDescent="0.55000000000000004">
      <c r="B54" s="38">
        <v>10</v>
      </c>
      <c r="C54" s="10" t="s">
        <v>165</v>
      </c>
      <c r="D54" s="34"/>
      <c r="E54" s="44"/>
    </row>
    <row r="55" spans="1:32" s="25" customFormat="1" ht="22.5" customHeight="1" x14ac:dyDescent="0.35">
      <c r="B55" s="40">
        <v>10.1</v>
      </c>
      <c r="C55" s="30" t="s">
        <v>166</v>
      </c>
      <c r="D55" s="33"/>
      <c r="E55" s="41"/>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row>
    <row r="56" spans="1:32" s="23" customFormat="1" ht="22.5" customHeight="1" collapsed="1" x14ac:dyDescent="0.25">
      <c r="B56" s="42">
        <v>10.1</v>
      </c>
      <c r="C56" s="24" t="s">
        <v>167</v>
      </c>
      <c r="D56" s="32" t="s">
        <v>82</v>
      </c>
      <c r="E56" s="43" t="s">
        <v>168</v>
      </c>
    </row>
    <row r="57" spans="1:32" s="25" customFormat="1" ht="22.5" customHeight="1" x14ac:dyDescent="0.35">
      <c r="B57" s="40">
        <v>10.199999999999999</v>
      </c>
      <c r="C57" s="30" t="s">
        <v>169</v>
      </c>
      <c r="D57" s="33"/>
      <c r="E57" s="41"/>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row>
    <row r="58" spans="1:32" s="23" customFormat="1" ht="22.5" customHeight="1" collapsed="1" thickBot="1" x14ac:dyDescent="0.3">
      <c r="B58" s="45">
        <v>10.199999999999999</v>
      </c>
      <c r="C58" s="46" t="s">
        <v>170</v>
      </c>
      <c r="D58" s="47" t="s">
        <v>82</v>
      </c>
      <c r="E58" s="48" t="s">
        <v>171</v>
      </c>
    </row>
    <row r="59" spans="1:32" ht="18.25" hidden="1" customHeight="1" x14ac:dyDescent="0.35">
      <c r="D59" s="62">
        <v>27</v>
      </c>
      <c r="E59" s="49"/>
    </row>
    <row r="60" spans="1:32" ht="18.25" hidden="1" customHeight="1" x14ac:dyDescent="0.35">
      <c r="D60" s="15"/>
    </row>
    <row r="61" spans="1:32" ht="18.25" hidden="1" customHeight="1" x14ac:dyDescent="0.35">
      <c r="A61" s="16"/>
      <c r="B61" s="14"/>
      <c r="D61" s="17"/>
    </row>
    <row r="62" spans="1:32" ht="38.65" hidden="1" customHeight="1" x14ac:dyDescent="0.3">
      <c r="A62" s="1">
        <f>COUNTIF($D$5:$D$58,"Non Existent")</f>
        <v>0</v>
      </c>
      <c r="B62" s="14"/>
      <c r="D62" s="18"/>
    </row>
    <row r="63" spans="1:32" ht="38.65" hidden="1" customHeight="1" x14ac:dyDescent="0.3">
      <c r="A63" s="1">
        <f>COUNTIF($D$5:$D$58,"Initial")</f>
        <v>0</v>
      </c>
      <c r="B63" s="14"/>
      <c r="D63" s="18"/>
    </row>
    <row r="64" spans="1:32" ht="38.65" hidden="1" customHeight="1" x14ac:dyDescent="0.3">
      <c r="A64" s="1">
        <f>COUNTIF($D$5:$D$58,"Limited")</f>
        <v>0</v>
      </c>
      <c r="B64" s="14"/>
      <c r="D64" s="18"/>
    </row>
    <row r="65" spans="1:4" ht="38.65" hidden="1" customHeight="1" x14ac:dyDescent="0.3">
      <c r="A65" s="1">
        <f>COUNTIF($D$5:$D$56,"Defined")</f>
        <v>24</v>
      </c>
      <c r="B65" s="14"/>
      <c r="D65" s="18"/>
    </row>
    <row r="66" spans="1:4" ht="38.65" hidden="1" customHeight="1" x14ac:dyDescent="0.3">
      <c r="A66" s="1">
        <f>COUNTIF($D$5:$D$58,"managed")</f>
        <v>2</v>
      </c>
      <c r="B66" s="14"/>
      <c r="D66" s="18"/>
    </row>
    <row r="67" spans="1:4" ht="38.65" hidden="1" customHeight="1" x14ac:dyDescent="0.3">
      <c r="A67" s="1">
        <f>COUNTIF($D$5:$D$58,"Optimized")</f>
        <v>0</v>
      </c>
      <c r="B67" s="14"/>
      <c r="D67" s="18"/>
    </row>
    <row r="68" spans="1:4" ht="38.65" hidden="1" customHeight="1" x14ac:dyDescent="0.3">
      <c r="A68" s="1">
        <f>COUNTIF($D$5:$D$56,"Not Applicable")</f>
        <v>0</v>
      </c>
      <c r="B68" s="14"/>
      <c r="D68" s="18"/>
    </row>
    <row r="69" spans="1:4" ht="38.65" hidden="1" customHeight="1" x14ac:dyDescent="0.3">
      <c r="A69" s="1">
        <f>COUNTIF($D$5:$D$58,"Not Checked")</f>
        <v>0</v>
      </c>
      <c r="B69" s="14"/>
      <c r="D69" s="18"/>
    </row>
    <row r="70" spans="1:4" ht="18.25" hidden="1" customHeight="1" x14ac:dyDescent="0.35">
      <c r="A70" s="19">
        <f>SUM(A62:A69)</f>
        <v>26</v>
      </c>
      <c r="B70" s="20"/>
      <c r="C70" s="21"/>
    </row>
    <row r="71" spans="1:4" ht="15.5" hidden="1" x14ac:dyDescent="0.35"/>
    <row r="72" spans="1:4" ht="18.25" hidden="1" customHeight="1" x14ac:dyDescent="0.3">
      <c r="A72" s="22"/>
      <c r="B72" s="22"/>
    </row>
  </sheetData>
  <mergeCells count="1">
    <mergeCell ref="B1:E1"/>
  </mergeCells>
  <dataValidations count="1">
    <dataValidation operator="equal" allowBlank="1" showInputMessage="1" showErrorMessage="1" promptTitle="Select Control Scope" sqref="D28:E28 D30:E30 D32:E32 D34:E34 D36:E36 D41:E41 D43:E43 D45:E45 D48:E48 D50:E50 D52:E52 D57:E57" xr:uid="{00000000-0002-0000-0100-000000000000}">
      <formula1>0</formula1>
      <formula2>0</formula2>
    </dataValidation>
  </dataValidations>
  <printOptions horizontalCentered="1" verticalCentered="1"/>
  <pageMargins left="0.25" right="0.25" top="0.75" bottom="0.75" header="0.3" footer="0.3"/>
  <pageSetup paperSize="9" scale="49" firstPageNumber="0" orientation="portrait" verticalDpi="300"/>
  <headerFooter alignWithMargins="0">
    <oddFooter>&amp;C&amp;D&amp;RPage&amp;P of &amp;N</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100"/>
  <sheetViews>
    <sheetView workbookViewId="0">
      <selection activeCell="L8" sqref="L8"/>
    </sheetView>
  </sheetViews>
  <sheetFormatPr defaultRowHeight="12.5" x14ac:dyDescent="0.25"/>
  <cols>
    <col min="1" max="1" width="2" customWidth="1"/>
    <col min="2" max="2" width="10" customWidth="1"/>
    <col min="3" max="3" width="38" customWidth="1"/>
    <col min="4" max="4" width="18" customWidth="1"/>
    <col min="5" max="5" width="55" customWidth="1"/>
  </cols>
  <sheetData>
    <row r="1" spans="2:5" ht="28" customHeight="1" x14ac:dyDescent="0.25">
      <c r="B1" s="78" t="s">
        <v>172</v>
      </c>
      <c r="C1" s="77"/>
      <c r="D1" s="77"/>
      <c r="E1" s="77"/>
    </row>
    <row r="2" spans="2:5" ht="16" customHeight="1" x14ac:dyDescent="0.25">
      <c r="B2" s="79" t="s">
        <v>173</v>
      </c>
      <c r="C2" s="77"/>
      <c r="D2" s="77"/>
      <c r="E2" s="77"/>
    </row>
    <row r="3" spans="2:5" ht="22" customHeight="1" x14ac:dyDescent="0.25">
      <c r="B3" s="50" t="s">
        <v>174</v>
      </c>
      <c r="C3" s="51" t="s">
        <v>175</v>
      </c>
      <c r="D3" s="50" t="s">
        <v>78</v>
      </c>
      <c r="E3" s="51" t="s">
        <v>176</v>
      </c>
    </row>
    <row r="4" spans="2:5" ht="16" customHeight="1" x14ac:dyDescent="0.25">
      <c r="B4" s="76" t="s">
        <v>177</v>
      </c>
      <c r="C4" s="77"/>
      <c r="D4" s="77"/>
      <c r="E4" s="77"/>
    </row>
    <row r="5" spans="2:5" ht="60" customHeight="1" x14ac:dyDescent="0.25">
      <c r="B5" s="71" t="s">
        <v>178</v>
      </c>
      <c r="C5" s="72" t="s">
        <v>179</v>
      </c>
      <c r="D5" s="73" t="s">
        <v>82</v>
      </c>
      <c r="E5" s="72" t="s">
        <v>180</v>
      </c>
    </row>
    <row r="6" spans="2:5" ht="60" customHeight="1" x14ac:dyDescent="0.25">
      <c r="B6" s="52" t="s">
        <v>181</v>
      </c>
      <c r="C6" s="53" t="s">
        <v>182</v>
      </c>
      <c r="D6" s="54" t="s">
        <v>82</v>
      </c>
      <c r="E6" s="53" t="s">
        <v>183</v>
      </c>
    </row>
    <row r="7" spans="2:5" ht="60" customHeight="1" x14ac:dyDescent="0.25">
      <c r="B7" s="71" t="s">
        <v>184</v>
      </c>
      <c r="C7" s="72" t="s">
        <v>185</v>
      </c>
      <c r="D7" s="74" t="s">
        <v>186</v>
      </c>
      <c r="E7" s="72" t="s">
        <v>187</v>
      </c>
    </row>
    <row r="8" spans="2:5" ht="60" customHeight="1" x14ac:dyDescent="0.25">
      <c r="B8" s="52" t="s">
        <v>188</v>
      </c>
      <c r="C8" s="53" t="s">
        <v>189</v>
      </c>
      <c r="D8" s="54" t="s">
        <v>82</v>
      </c>
      <c r="E8" s="53" t="s">
        <v>190</v>
      </c>
    </row>
    <row r="9" spans="2:5" ht="60" customHeight="1" x14ac:dyDescent="0.25">
      <c r="B9" s="71" t="s">
        <v>191</v>
      </c>
      <c r="C9" s="72" t="s">
        <v>192</v>
      </c>
      <c r="D9" s="73" t="s">
        <v>82</v>
      </c>
      <c r="E9" s="72" t="s">
        <v>193</v>
      </c>
    </row>
    <row r="10" spans="2:5" ht="60" customHeight="1" x14ac:dyDescent="0.25">
      <c r="B10" s="52" t="s">
        <v>194</v>
      </c>
      <c r="C10" s="53" t="s">
        <v>195</v>
      </c>
      <c r="D10" s="55" t="s">
        <v>186</v>
      </c>
      <c r="E10" s="53" t="s">
        <v>196</v>
      </c>
    </row>
    <row r="11" spans="2:5" ht="60" customHeight="1" x14ac:dyDescent="0.25">
      <c r="B11" s="71" t="s">
        <v>197</v>
      </c>
      <c r="C11" s="72" t="s">
        <v>198</v>
      </c>
      <c r="D11" s="74" t="s">
        <v>199</v>
      </c>
      <c r="E11" s="72" t="s">
        <v>200</v>
      </c>
    </row>
    <row r="12" spans="2:5" ht="60" customHeight="1" x14ac:dyDescent="0.25">
      <c r="B12" s="52" t="s">
        <v>201</v>
      </c>
      <c r="C12" s="53" t="s">
        <v>202</v>
      </c>
      <c r="D12" s="54" t="s">
        <v>82</v>
      </c>
      <c r="E12" s="53" t="s">
        <v>203</v>
      </c>
    </row>
    <row r="13" spans="2:5" ht="60" customHeight="1" x14ac:dyDescent="0.25">
      <c r="B13" s="71" t="s">
        <v>204</v>
      </c>
      <c r="C13" s="72" t="s">
        <v>205</v>
      </c>
      <c r="D13" s="74" t="s">
        <v>186</v>
      </c>
      <c r="E13" s="72" t="s">
        <v>206</v>
      </c>
    </row>
    <row r="14" spans="2:5" ht="60" customHeight="1" x14ac:dyDescent="0.25">
      <c r="B14" s="52" t="s">
        <v>207</v>
      </c>
      <c r="C14" s="53" t="s">
        <v>208</v>
      </c>
      <c r="D14" s="54" t="s">
        <v>82</v>
      </c>
      <c r="E14" s="53" t="s">
        <v>209</v>
      </c>
    </row>
    <row r="15" spans="2:5" ht="60" customHeight="1" x14ac:dyDescent="0.25">
      <c r="B15" s="71" t="s">
        <v>210</v>
      </c>
      <c r="C15" s="72" t="s">
        <v>211</v>
      </c>
      <c r="D15" s="73" t="s">
        <v>82</v>
      </c>
      <c r="E15" s="72" t="s">
        <v>212</v>
      </c>
    </row>
    <row r="16" spans="2:5" ht="60" customHeight="1" x14ac:dyDescent="0.25">
      <c r="B16" s="52" t="s">
        <v>213</v>
      </c>
      <c r="C16" s="53" t="s">
        <v>214</v>
      </c>
      <c r="D16" s="55" t="s">
        <v>199</v>
      </c>
      <c r="E16" s="53" t="s">
        <v>215</v>
      </c>
    </row>
    <row r="17" spans="2:5" ht="60" customHeight="1" x14ac:dyDescent="0.25">
      <c r="B17" s="71" t="s">
        <v>216</v>
      </c>
      <c r="C17" s="72" t="s">
        <v>217</v>
      </c>
      <c r="D17" s="74" t="s">
        <v>199</v>
      </c>
      <c r="E17" s="72" t="s">
        <v>218</v>
      </c>
    </row>
    <row r="18" spans="2:5" ht="60" customHeight="1" x14ac:dyDescent="0.25">
      <c r="B18" s="52" t="s">
        <v>219</v>
      </c>
      <c r="C18" s="53" t="s">
        <v>220</v>
      </c>
      <c r="D18" s="54" t="s">
        <v>82</v>
      </c>
      <c r="E18" s="53" t="s">
        <v>221</v>
      </c>
    </row>
    <row r="19" spans="2:5" ht="60" customHeight="1" x14ac:dyDescent="0.25">
      <c r="B19" s="71" t="s">
        <v>222</v>
      </c>
      <c r="C19" s="72" t="s">
        <v>223</v>
      </c>
      <c r="D19" s="73" t="s">
        <v>82</v>
      </c>
      <c r="E19" s="72" t="s">
        <v>224</v>
      </c>
    </row>
    <row r="20" spans="2:5" ht="60" customHeight="1" x14ac:dyDescent="0.25">
      <c r="B20" s="52" t="s">
        <v>225</v>
      </c>
      <c r="C20" s="53" t="s">
        <v>226</v>
      </c>
      <c r="D20" s="54" t="s">
        <v>82</v>
      </c>
      <c r="E20" s="53" t="s">
        <v>227</v>
      </c>
    </row>
    <row r="21" spans="2:5" ht="60" customHeight="1" x14ac:dyDescent="0.25">
      <c r="B21" s="71" t="s">
        <v>228</v>
      </c>
      <c r="C21" s="72" t="s">
        <v>229</v>
      </c>
      <c r="D21" s="73" t="s">
        <v>82</v>
      </c>
      <c r="E21" s="72" t="s">
        <v>230</v>
      </c>
    </row>
    <row r="22" spans="2:5" ht="60" customHeight="1" x14ac:dyDescent="0.25">
      <c r="B22" s="52" t="s">
        <v>231</v>
      </c>
      <c r="C22" s="53" t="s">
        <v>232</v>
      </c>
      <c r="D22" s="54" t="s">
        <v>82</v>
      </c>
      <c r="E22" s="53" t="s">
        <v>233</v>
      </c>
    </row>
    <row r="23" spans="2:5" ht="60" customHeight="1" x14ac:dyDescent="0.25">
      <c r="B23" s="71" t="s">
        <v>234</v>
      </c>
      <c r="C23" s="72" t="s">
        <v>235</v>
      </c>
      <c r="D23" s="73" t="s">
        <v>82</v>
      </c>
      <c r="E23" s="72" t="s">
        <v>236</v>
      </c>
    </row>
    <row r="24" spans="2:5" ht="60" customHeight="1" x14ac:dyDescent="0.25">
      <c r="B24" s="52" t="s">
        <v>237</v>
      </c>
      <c r="C24" s="53" t="s">
        <v>238</v>
      </c>
      <c r="D24" s="54" t="s">
        <v>82</v>
      </c>
      <c r="E24" s="53" t="s">
        <v>239</v>
      </c>
    </row>
    <row r="25" spans="2:5" ht="60" customHeight="1" x14ac:dyDescent="0.25">
      <c r="B25" s="71" t="s">
        <v>240</v>
      </c>
      <c r="C25" s="72" t="s">
        <v>241</v>
      </c>
      <c r="D25" s="74" t="s">
        <v>186</v>
      </c>
      <c r="E25" s="72" t="s">
        <v>242</v>
      </c>
    </row>
    <row r="26" spans="2:5" ht="60" customHeight="1" x14ac:dyDescent="0.25">
      <c r="B26" s="52" t="s">
        <v>243</v>
      </c>
      <c r="C26" s="53" t="s">
        <v>244</v>
      </c>
      <c r="D26" s="54" t="s">
        <v>82</v>
      </c>
      <c r="E26" s="53" t="s">
        <v>245</v>
      </c>
    </row>
    <row r="27" spans="2:5" ht="60" customHeight="1" x14ac:dyDescent="0.25">
      <c r="B27" s="71" t="s">
        <v>246</v>
      </c>
      <c r="C27" s="72" t="s">
        <v>247</v>
      </c>
      <c r="D27" s="73" t="s">
        <v>82</v>
      </c>
      <c r="E27" s="72" t="s">
        <v>248</v>
      </c>
    </row>
    <row r="28" spans="2:5" ht="60" customHeight="1" x14ac:dyDescent="0.25">
      <c r="B28" s="52" t="s">
        <v>249</v>
      </c>
      <c r="C28" s="53" t="s">
        <v>250</v>
      </c>
      <c r="D28" s="54" t="s">
        <v>82</v>
      </c>
      <c r="E28" s="53" t="s">
        <v>251</v>
      </c>
    </row>
    <row r="29" spans="2:5" ht="60" customHeight="1" x14ac:dyDescent="0.25">
      <c r="B29" s="71" t="s">
        <v>252</v>
      </c>
      <c r="C29" s="72" t="s">
        <v>253</v>
      </c>
      <c r="D29" s="74" t="s">
        <v>199</v>
      </c>
      <c r="E29" s="72" t="s">
        <v>254</v>
      </c>
    </row>
    <row r="30" spans="2:5" ht="60" customHeight="1" x14ac:dyDescent="0.25">
      <c r="B30" s="52" t="s">
        <v>255</v>
      </c>
      <c r="C30" s="53" t="s">
        <v>256</v>
      </c>
      <c r="D30" s="54" t="s">
        <v>82</v>
      </c>
      <c r="E30" s="53" t="s">
        <v>257</v>
      </c>
    </row>
    <row r="31" spans="2:5" ht="60" customHeight="1" x14ac:dyDescent="0.25">
      <c r="B31" s="71" t="s">
        <v>258</v>
      </c>
      <c r="C31" s="72" t="s">
        <v>259</v>
      </c>
      <c r="D31" s="74" t="s">
        <v>199</v>
      </c>
      <c r="E31" s="72" t="s">
        <v>260</v>
      </c>
    </row>
    <row r="32" spans="2:5" ht="60" customHeight="1" x14ac:dyDescent="0.25">
      <c r="B32" s="52" t="s">
        <v>261</v>
      </c>
      <c r="C32" s="53" t="s">
        <v>262</v>
      </c>
      <c r="D32" s="55" t="s">
        <v>199</v>
      </c>
      <c r="E32" s="53" t="s">
        <v>263</v>
      </c>
    </row>
    <row r="33" spans="2:5" ht="60" customHeight="1" x14ac:dyDescent="0.25">
      <c r="B33" s="71" t="s">
        <v>264</v>
      </c>
      <c r="C33" s="72" t="s">
        <v>265</v>
      </c>
      <c r="D33" s="73" t="s">
        <v>82</v>
      </c>
      <c r="E33" s="72" t="s">
        <v>266</v>
      </c>
    </row>
    <row r="34" spans="2:5" ht="60" customHeight="1" x14ac:dyDescent="0.25">
      <c r="B34" s="52" t="s">
        <v>267</v>
      </c>
      <c r="C34" s="53" t="s">
        <v>268</v>
      </c>
      <c r="D34" s="54" t="s">
        <v>82</v>
      </c>
      <c r="E34" s="53" t="s">
        <v>269</v>
      </c>
    </row>
    <row r="35" spans="2:5" ht="60" customHeight="1" x14ac:dyDescent="0.25">
      <c r="B35" s="56" t="s">
        <v>270</v>
      </c>
      <c r="C35" s="57" t="s">
        <v>271</v>
      </c>
      <c r="D35" s="58" t="s">
        <v>87</v>
      </c>
      <c r="E35" s="57" t="s">
        <v>272</v>
      </c>
    </row>
    <row r="36" spans="2:5" ht="60" customHeight="1" x14ac:dyDescent="0.25">
      <c r="B36" s="59" t="s">
        <v>273</v>
      </c>
      <c r="C36" s="60" t="s">
        <v>274</v>
      </c>
      <c r="D36" s="61" t="s">
        <v>275</v>
      </c>
      <c r="E36" s="60" t="s">
        <v>276</v>
      </c>
    </row>
    <row r="37" spans="2:5" ht="60" customHeight="1" x14ac:dyDescent="0.25">
      <c r="B37" s="71" t="s">
        <v>277</v>
      </c>
      <c r="C37" s="72" t="s">
        <v>278</v>
      </c>
      <c r="D37" s="73" t="s">
        <v>82</v>
      </c>
      <c r="E37" s="72" t="s">
        <v>279</v>
      </c>
    </row>
    <row r="38" spans="2:5" ht="60" customHeight="1" x14ac:dyDescent="0.25">
      <c r="B38" s="56" t="s">
        <v>280</v>
      </c>
      <c r="C38" s="57" t="s">
        <v>281</v>
      </c>
      <c r="D38" s="58" t="s">
        <v>87</v>
      </c>
      <c r="E38" s="57" t="s">
        <v>282</v>
      </c>
    </row>
    <row r="39" spans="2:5" ht="60" customHeight="1" x14ac:dyDescent="0.25">
      <c r="B39" s="71" t="s">
        <v>283</v>
      </c>
      <c r="C39" s="72" t="s">
        <v>284</v>
      </c>
      <c r="D39" s="73" t="s">
        <v>82</v>
      </c>
      <c r="E39" s="72" t="s">
        <v>285</v>
      </c>
    </row>
    <row r="40" spans="2:5" ht="60" customHeight="1" x14ac:dyDescent="0.25">
      <c r="B40" s="52" t="s">
        <v>286</v>
      </c>
      <c r="C40" s="53" t="s">
        <v>287</v>
      </c>
      <c r="D40" s="54" t="s">
        <v>82</v>
      </c>
      <c r="E40" s="53" t="s">
        <v>288</v>
      </c>
    </row>
    <row r="41" spans="2:5" ht="60" customHeight="1" x14ac:dyDescent="0.25">
      <c r="B41" s="71" t="s">
        <v>289</v>
      </c>
      <c r="C41" s="72" t="s">
        <v>290</v>
      </c>
      <c r="D41" s="73" t="s">
        <v>82</v>
      </c>
      <c r="E41" s="72" t="s">
        <v>291</v>
      </c>
    </row>
    <row r="42" spans="2:5" ht="16" customHeight="1" x14ac:dyDescent="0.25">
      <c r="B42" s="76" t="s">
        <v>292</v>
      </c>
      <c r="C42" s="77"/>
      <c r="D42" s="77"/>
      <c r="E42" s="77"/>
    </row>
    <row r="43" spans="2:5" ht="60" customHeight="1" x14ac:dyDescent="0.25">
      <c r="B43" s="71" t="s">
        <v>293</v>
      </c>
      <c r="C43" s="72" t="s">
        <v>294</v>
      </c>
      <c r="D43" s="74" t="s">
        <v>186</v>
      </c>
      <c r="E43" s="72" t="s">
        <v>295</v>
      </c>
    </row>
    <row r="44" spans="2:5" ht="60" customHeight="1" x14ac:dyDescent="0.25">
      <c r="B44" s="52" t="s">
        <v>296</v>
      </c>
      <c r="C44" s="53" t="s">
        <v>297</v>
      </c>
      <c r="D44" s="54" t="s">
        <v>82</v>
      </c>
      <c r="E44" s="53" t="s">
        <v>298</v>
      </c>
    </row>
    <row r="45" spans="2:5" ht="60" customHeight="1" x14ac:dyDescent="0.25">
      <c r="B45" s="71" t="s">
        <v>299</v>
      </c>
      <c r="C45" s="72" t="s">
        <v>300</v>
      </c>
      <c r="D45" s="73" t="s">
        <v>82</v>
      </c>
      <c r="E45" s="72" t="s">
        <v>301</v>
      </c>
    </row>
    <row r="46" spans="2:5" ht="60" customHeight="1" x14ac:dyDescent="0.25">
      <c r="B46" s="52" t="s">
        <v>302</v>
      </c>
      <c r="C46" s="53" t="s">
        <v>303</v>
      </c>
      <c r="D46" s="54" t="s">
        <v>82</v>
      </c>
      <c r="E46" s="53" t="s">
        <v>304</v>
      </c>
    </row>
    <row r="47" spans="2:5" ht="60" customHeight="1" x14ac:dyDescent="0.25">
      <c r="B47" s="71" t="s">
        <v>305</v>
      </c>
      <c r="C47" s="72" t="s">
        <v>306</v>
      </c>
      <c r="D47" s="73" t="s">
        <v>82</v>
      </c>
      <c r="E47" s="72" t="s">
        <v>307</v>
      </c>
    </row>
    <row r="48" spans="2:5" ht="60" customHeight="1" x14ac:dyDescent="0.25">
      <c r="B48" s="52" t="s">
        <v>308</v>
      </c>
      <c r="C48" s="53" t="s">
        <v>309</v>
      </c>
      <c r="D48" s="54" t="s">
        <v>82</v>
      </c>
      <c r="E48" s="53" t="s">
        <v>310</v>
      </c>
    </row>
    <row r="49" spans="2:5" ht="60" customHeight="1" x14ac:dyDescent="0.25">
      <c r="B49" s="71" t="s">
        <v>311</v>
      </c>
      <c r="C49" s="72" t="s">
        <v>312</v>
      </c>
      <c r="D49" s="73" t="s">
        <v>82</v>
      </c>
      <c r="E49" s="72" t="s">
        <v>313</v>
      </c>
    </row>
    <row r="50" spans="2:5" ht="60" customHeight="1" x14ac:dyDescent="0.25">
      <c r="B50" s="52" t="s">
        <v>314</v>
      </c>
      <c r="C50" s="53" t="s">
        <v>315</v>
      </c>
      <c r="D50" s="54" t="s">
        <v>82</v>
      </c>
      <c r="E50" s="53" t="s">
        <v>316</v>
      </c>
    </row>
    <row r="51" spans="2:5" ht="16" customHeight="1" x14ac:dyDescent="0.25">
      <c r="B51" s="76" t="s">
        <v>317</v>
      </c>
      <c r="C51" s="77"/>
      <c r="D51" s="77"/>
      <c r="E51" s="77"/>
    </row>
    <row r="52" spans="2:5" ht="60" customHeight="1" x14ac:dyDescent="0.25">
      <c r="B52" s="52" t="s">
        <v>318</v>
      </c>
      <c r="C52" s="53" t="s">
        <v>319</v>
      </c>
      <c r="D52" s="54" t="s">
        <v>82</v>
      </c>
      <c r="E52" s="53" t="s">
        <v>320</v>
      </c>
    </row>
    <row r="53" spans="2:5" ht="60" customHeight="1" x14ac:dyDescent="0.25">
      <c r="B53" s="56" t="s">
        <v>321</v>
      </c>
      <c r="C53" s="57" t="s">
        <v>322</v>
      </c>
      <c r="D53" s="58" t="s">
        <v>87</v>
      </c>
      <c r="E53" s="57" t="s">
        <v>323</v>
      </c>
    </row>
    <row r="54" spans="2:5" ht="60" customHeight="1" x14ac:dyDescent="0.25">
      <c r="B54" s="52" t="s">
        <v>324</v>
      </c>
      <c r="C54" s="53" t="s">
        <v>325</v>
      </c>
      <c r="D54" s="54" t="s">
        <v>82</v>
      </c>
      <c r="E54" s="53" t="s">
        <v>326</v>
      </c>
    </row>
    <row r="55" spans="2:5" ht="60" customHeight="1" x14ac:dyDescent="0.25">
      <c r="B55" s="56" t="s">
        <v>327</v>
      </c>
      <c r="C55" s="57" t="s">
        <v>328</v>
      </c>
      <c r="D55" s="58" t="s">
        <v>87</v>
      </c>
      <c r="E55" s="57" t="s">
        <v>329</v>
      </c>
    </row>
    <row r="56" spans="2:5" ht="60" customHeight="1" x14ac:dyDescent="0.25">
      <c r="B56" s="52" t="s">
        <v>330</v>
      </c>
      <c r="C56" s="53" t="s">
        <v>331</v>
      </c>
      <c r="D56" s="55" t="s">
        <v>186</v>
      </c>
      <c r="E56" s="53" t="s">
        <v>332</v>
      </c>
    </row>
    <row r="57" spans="2:5" ht="60" customHeight="1" x14ac:dyDescent="0.25">
      <c r="B57" s="71" t="s">
        <v>333</v>
      </c>
      <c r="C57" s="72" t="s">
        <v>334</v>
      </c>
      <c r="D57" s="73" t="s">
        <v>82</v>
      </c>
      <c r="E57" s="72" t="s">
        <v>335</v>
      </c>
    </row>
    <row r="58" spans="2:5" ht="60" customHeight="1" x14ac:dyDescent="0.25">
      <c r="B58" s="52" t="s">
        <v>336</v>
      </c>
      <c r="C58" s="53" t="s">
        <v>337</v>
      </c>
      <c r="D58" s="54" t="s">
        <v>82</v>
      </c>
      <c r="E58" s="53" t="s">
        <v>338</v>
      </c>
    </row>
    <row r="59" spans="2:5" ht="60" customHeight="1" x14ac:dyDescent="0.25">
      <c r="B59" s="71" t="s">
        <v>339</v>
      </c>
      <c r="C59" s="72" t="s">
        <v>340</v>
      </c>
      <c r="D59" s="73" t="s">
        <v>82</v>
      </c>
      <c r="E59" s="72" t="s">
        <v>341</v>
      </c>
    </row>
    <row r="60" spans="2:5" ht="60" customHeight="1" x14ac:dyDescent="0.25">
      <c r="B60" s="52" t="s">
        <v>342</v>
      </c>
      <c r="C60" s="53" t="s">
        <v>343</v>
      </c>
      <c r="D60" s="54" t="s">
        <v>82</v>
      </c>
      <c r="E60" s="53" t="s">
        <v>344</v>
      </c>
    </row>
    <row r="61" spans="2:5" ht="60" customHeight="1" x14ac:dyDescent="0.25">
      <c r="B61" s="71" t="s">
        <v>345</v>
      </c>
      <c r="C61" s="72" t="s">
        <v>346</v>
      </c>
      <c r="D61" s="74" t="s">
        <v>186</v>
      </c>
      <c r="E61" s="72" t="s">
        <v>347</v>
      </c>
    </row>
    <row r="62" spans="2:5" ht="60" customHeight="1" x14ac:dyDescent="0.25">
      <c r="B62" s="59" t="s">
        <v>348</v>
      </c>
      <c r="C62" s="60" t="s">
        <v>349</v>
      </c>
      <c r="D62" s="61" t="s">
        <v>275</v>
      </c>
      <c r="E62" s="60" t="s">
        <v>350</v>
      </c>
    </row>
    <row r="63" spans="2:5" ht="60" customHeight="1" x14ac:dyDescent="0.25">
      <c r="B63" s="71" t="s">
        <v>351</v>
      </c>
      <c r="C63" s="72" t="s">
        <v>352</v>
      </c>
      <c r="D63" s="74" t="s">
        <v>186</v>
      </c>
      <c r="E63" s="72" t="s">
        <v>353</v>
      </c>
    </row>
    <row r="64" spans="2:5" ht="60" customHeight="1" x14ac:dyDescent="0.25">
      <c r="B64" s="52" t="s">
        <v>354</v>
      </c>
      <c r="C64" s="53" t="s">
        <v>355</v>
      </c>
      <c r="D64" s="54" t="s">
        <v>82</v>
      </c>
      <c r="E64" s="53" t="s">
        <v>356</v>
      </c>
    </row>
    <row r="65" spans="2:5" ht="60" customHeight="1" x14ac:dyDescent="0.25">
      <c r="B65" s="71" t="s">
        <v>357</v>
      </c>
      <c r="C65" s="72" t="s">
        <v>358</v>
      </c>
      <c r="D65" s="73" t="s">
        <v>82</v>
      </c>
      <c r="E65" s="72" t="s">
        <v>359</v>
      </c>
    </row>
    <row r="66" spans="2:5" ht="16" customHeight="1" x14ac:dyDescent="0.25">
      <c r="B66" s="76" t="s">
        <v>360</v>
      </c>
      <c r="C66" s="77"/>
      <c r="D66" s="77"/>
      <c r="E66" s="77"/>
    </row>
    <row r="67" spans="2:5" ht="60" customHeight="1" x14ac:dyDescent="0.25">
      <c r="B67" s="71" t="s">
        <v>361</v>
      </c>
      <c r="C67" s="72" t="s">
        <v>362</v>
      </c>
      <c r="D67" s="73" t="s">
        <v>82</v>
      </c>
      <c r="E67" s="72" t="s">
        <v>363</v>
      </c>
    </row>
    <row r="68" spans="2:5" ht="60" customHeight="1" x14ac:dyDescent="0.25">
      <c r="B68" s="52" t="s">
        <v>364</v>
      </c>
      <c r="C68" s="53" t="s">
        <v>365</v>
      </c>
      <c r="D68" s="54" t="s">
        <v>82</v>
      </c>
      <c r="E68" s="53" t="s">
        <v>366</v>
      </c>
    </row>
    <row r="69" spans="2:5" ht="60" customHeight="1" x14ac:dyDescent="0.25">
      <c r="B69" s="71" t="s">
        <v>367</v>
      </c>
      <c r="C69" s="72" t="s">
        <v>368</v>
      </c>
      <c r="D69" s="73" t="s">
        <v>82</v>
      </c>
      <c r="E69" s="72" t="s">
        <v>369</v>
      </c>
    </row>
    <row r="70" spans="2:5" ht="60" customHeight="1" x14ac:dyDescent="0.25">
      <c r="B70" s="59" t="s">
        <v>370</v>
      </c>
      <c r="C70" s="60" t="s">
        <v>371</v>
      </c>
      <c r="D70" s="61" t="s">
        <v>275</v>
      </c>
      <c r="E70" s="60" t="s">
        <v>372</v>
      </c>
    </row>
    <row r="71" spans="2:5" ht="60" customHeight="1" x14ac:dyDescent="0.25">
      <c r="B71" s="71" t="s">
        <v>373</v>
      </c>
      <c r="C71" s="72" t="s">
        <v>374</v>
      </c>
      <c r="D71" s="73" t="s">
        <v>82</v>
      </c>
      <c r="E71" s="72" t="s">
        <v>375</v>
      </c>
    </row>
    <row r="72" spans="2:5" ht="60" customHeight="1" x14ac:dyDescent="0.25">
      <c r="B72" s="52" t="s">
        <v>376</v>
      </c>
      <c r="C72" s="53" t="s">
        <v>377</v>
      </c>
      <c r="D72" s="54" t="s">
        <v>82</v>
      </c>
      <c r="E72" s="53" t="s">
        <v>378</v>
      </c>
    </row>
    <row r="73" spans="2:5" ht="60" customHeight="1" x14ac:dyDescent="0.25">
      <c r="B73" s="71" t="s">
        <v>379</v>
      </c>
      <c r="C73" s="72" t="s">
        <v>380</v>
      </c>
      <c r="D73" s="73" t="s">
        <v>82</v>
      </c>
      <c r="E73" s="72" t="s">
        <v>381</v>
      </c>
    </row>
    <row r="74" spans="2:5" ht="60" customHeight="1" x14ac:dyDescent="0.25">
      <c r="B74" s="52" t="s">
        <v>382</v>
      </c>
      <c r="C74" s="53" t="s">
        <v>383</v>
      </c>
      <c r="D74" s="54" t="s">
        <v>82</v>
      </c>
      <c r="E74" s="53" t="s">
        <v>384</v>
      </c>
    </row>
    <row r="75" spans="2:5" ht="60" customHeight="1" x14ac:dyDescent="0.25">
      <c r="B75" s="71" t="s">
        <v>385</v>
      </c>
      <c r="C75" s="72" t="s">
        <v>386</v>
      </c>
      <c r="D75" s="73" t="s">
        <v>82</v>
      </c>
      <c r="E75" s="72" t="s">
        <v>387</v>
      </c>
    </row>
    <row r="76" spans="2:5" ht="60" customHeight="1" x14ac:dyDescent="0.25">
      <c r="B76" s="52" t="s">
        <v>388</v>
      </c>
      <c r="C76" s="53" t="s">
        <v>389</v>
      </c>
      <c r="D76" s="54" t="s">
        <v>82</v>
      </c>
      <c r="E76" s="53" t="s">
        <v>390</v>
      </c>
    </row>
    <row r="77" spans="2:5" ht="60" customHeight="1" x14ac:dyDescent="0.25">
      <c r="B77" s="71" t="s">
        <v>391</v>
      </c>
      <c r="C77" s="72" t="s">
        <v>392</v>
      </c>
      <c r="D77" s="74" t="s">
        <v>186</v>
      </c>
      <c r="E77" s="72" t="s">
        <v>393</v>
      </c>
    </row>
    <row r="78" spans="2:5" ht="60" customHeight="1" x14ac:dyDescent="0.25">
      <c r="B78" s="52" t="s">
        <v>394</v>
      </c>
      <c r="C78" s="53" t="s">
        <v>395</v>
      </c>
      <c r="D78" s="54" t="s">
        <v>82</v>
      </c>
      <c r="E78" s="53" t="s">
        <v>396</v>
      </c>
    </row>
    <row r="79" spans="2:5" ht="60" customHeight="1" x14ac:dyDescent="0.25">
      <c r="B79" s="71" t="s">
        <v>397</v>
      </c>
      <c r="C79" s="72" t="s">
        <v>398</v>
      </c>
      <c r="D79" s="73" t="s">
        <v>82</v>
      </c>
      <c r="E79" s="72" t="s">
        <v>399</v>
      </c>
    </row>
    <row r="80" spans="2:5" ht="60" customHeight="1" x14ac:dyDescent="0.25">
      <c r="B80" s="52" t="s">
        <v>400</v>
      </c>
      <c r="C80" s="53" t="s">
        <v>401</v>
      </c>
      <c r="D80" s="54" t="s">
        <v>82</v>
      </c>
      <c r="E80" s="53" t="s">
        <v>402</v>
      </c>
    </row>
    <row r="81" spans="2:5" ht="60" customHeight="1" x14ac:dyDescent="0.25">
      <c r="B81" s="71" t="s">
        <v>403</v>
      </c>
      <c r="C81" s="72" t="s">
        <v>404</v>
      </c>
      <c r="D81" s="73" t="s">
        <v>82</v>
      </c>
      <c r="E81" s="72" t="s">
        <v>405</v>
      </c>
    </row>
    <row r="82" spans="2:5" ht="60" customHeight="1" x14ac:dyDescent="0.25">
      <c r="B82" s="52" t="s">
        <v>406</v>
      </c>
      <c r="C82" s="53" t="s">
        <v>407</v>
      </c>
      <c r="D82" s="54" t="s">
        <v>82</v>
      </c>
      <c r="E82" s="53" t="s">
        <v>408</v>
      </c>
    </row>
    <row r="83" spans="2:5" ht="60" customHeight="1" x14ac:dyDescent="0.25">
      <c r="B83" s="71" t="s">
        <v>409</v>
      </c>
      <c r="C83" s="72" t="s">
        <v>410</v>
      </c>
      <c r="D83" s="73" t="s">
        <v>82</v>
      </c>
      <c r="E83" s="72" t="s">
        <v>411</v>
      </c>
    </row>
    <row r="84" spans="2:5" ht="60" customHeight="1" x14ac:dyDescent="0.25">
      <c r="B84" s="52" t="s">
        <v>412</v>
      </c>
      <c r="C84" s="53" t="s">
        <v>413</v>
      </c>
      <c r="D84" s="54" t="s">
        <v>82</v>
      </c>
      <c r="E84" s="53" t="s">
        <v>414</v>
      </c>
    </row>
    <row r="85" spans="2:5" ht="60" customHeight="1" x14ac:dyDescent="0.25">
      <c r="B85" s="71" t="s">
        <v>415</v>
      </c>
      <c r="C85" s="72" t="s">
        <v>416</v>
      </c>
      <c r="D85" s="73" t="s">
        <v>82</v>
      </c>
      <c r="E85" s="72" t="s">
        <v>417</v>
      </c>
    </row>
    <row r="86" spans="2:5" ht="60" customHeight="1" x14ac:dyDescent="0.25">
      <c r="B86" s="52" t="s">
        <v>418</v>
      </c>
      <c r="C86" s="53" t="s">
        <v>419</v>
      </c>
      <c r="D86" s="54" t="s">
        <v>82</v>
      </c>
      <c r="E86" s="53" t="s">
        <v>420</v>
      </c>
    </row>
    <row r="87" spans="2:5" ht="60" customHeight="1" x14ac:dyDescent="0.25">
      <c r="B87" s="71" t="s">
        <v>421</v>
      </c>
      <c r="C87" s="72" t="s">
        <v>422</v>
      </c>
      <c r="D87" s="73" t="s">
        <v>82</v>
      </c>
      <c r="E87" s="72" t="s">
        <v>423</v>
      </c>
    </row>
    <row r="88" spans="2:5" ht="60" customHeight="1" x14ac:dyDescent="0.25">
      <c r="B88" s="52" t="s">
        <v>424</v>
      </c>
      <c r="C88" s="53" t="s">
        <v>425</v>
      </c>
      <c r="D88" s="54" t="s">
        <v>82</v>
      </c>
      <c r="E88" s="53" t="s">
        <v>426</v>
      </c>
    </row>
    <row r="89" spans="2:5" ht="60" customHeight="1" x14ac:dyDescent="0.25">
      <c r="B89" s="71" t="s">
        <v>427</v>
      </c>
      <c r="C89" s="72" t="s">
        <v>428</v>
      </c>
      <c r="D89" s="73" t="s">
        <v>82</v>
      </c>
      <c r="E89" s="72" t="s">
        <v>429</v>
      </c>
    </row>
    <row r="90" spans="2:5" ht="60" customHeight="1" x14ac:dyDescent="0.25">
      <c r="B90" s="52" t="s">
        <v>430</v>
      </c>
      <c r="C90" s="53" t="s">
        <v>431</v>
      </c>
      <c r="D90" s="54" t="s">
        <v>82</v>
      </c>
      <c r="E90" s="53" t="s">
        <v>432</v>
      </c>
    </row>
    <row r="91" spans="2:5" ht="60" customHeight="1" x14ac:dyDescent="0.25">
      <c r="B91" s="59" t="s">
        <v>433</v>
      </c>
      <c r="C91" s="60" t="s">
        <v>434</v>
      </c>
      <c r="D91" s="61" t="s">
        <v>275</v>
      </c>
      <c r="E91" s="60" t="s">
        <v>435</v>
      </c>
    </row>
    <row r="92" spans="2:5" ht="60" customHeight="1" x14ac:dyDescent="0.25">
      <c r="B92" s="52" t="s">
        <v>436</v>
      </c>
      <c r="C92" s="53" t="s">
        <v>437</v>
      </c>
      <c r="D92" s="55" t="s">
        <v>186</v>
      </c>
      <c r="E92" s="53" t="s">
        <v>438</v>
      </c>
    </row>
    <row r="93" spans="2:5" ht="60" customHeight="1" x14ac:dyDescent="0.25">
      <c r="B93" s="59" t="s">
        <v>439</v>
      </c>
      <c r="C93" s="60" t="s">
        <v>440</v>
      </c>
      <c r="D93" s="61" t="s">
        <v>275</v>
      </c>
      <c r="E93" s="60" t="s">
        <v>441</v>
      </c>
    </row>
    <row r="94" spans="2:5" ht="60" customHeight="1" x14ac:dyDescent="0.25">
      <c r="B94" s="59" t="s">
        <v>442</v>
      </c>
      <c r="C94" s="60" t="s">
        <v>443</v>
      </c>
      <c r="D94" s="61" t="s">
        <v>275</v>
      </c>
      <c r="E94" s="60" t="s">
        <v>444</v>
      </c>
    </row>
    <row r="95" spans="2:5" ht="60" customHeight="1" x14ac:dyDescent="0.25">
      <c r="B95" s="71" t="s">
        <v>445</v>
      </c>
      <c r="C95" s="72" t="s">
        <v>446</v>
      </c>
      <c r="D95" s="74" t="s">
        <v>186</v>
      </c>
      <c r="E95" s="72" t="s">
        <v>447</v>
      </c>
    </row>
    <row r="96" spans="2:5" ht="60" customHeight="1" x14ac:dyDescent="0.25">
      <c r="B96" s="59" t="s">
        <v>448</v>
      </c>
      <c r="C96" s="60" t="s">
        <v>449</v>
      </c>
      <c r="D96" s="61" t="s">
        <v>275</v>
      </c>
      <c r="E96" s="60" t="s">
        <v>450</v>
      </c>
    </row>
    <row r="97" spans="2:5" ht="60" customHeight="1" x14ac:dyDescent="0.25">
      <c r="B97" s="59" t="s">
        <v>451</v>
      </c>
      <c r="C97" s="60" t="s">
        <v>452</v>
      </c>
      <c r="D97" s="61" t="s">
        <v>275</v>
      </c>
      <c r="E97" s="60" t="s">
        <v>453</v>
      </c>
    </row>
    <row r="98" spans="2:5" ht="60" customHeight="1" x14ac:dyDescent="0.25">
      <c r="B98" s="52" t="s">
        <v>454</v>
      </c>
      <c r="C98" s="53" t="s">
        <v>455</v>
      </c>
      <c r="D98" s="54" t="s">
        <v>82</v>
      </c>
      <c r="E98" s="53" t="s">
        <v>456</v>
      </c>
    </row>
    <row r="99" spans="2:5" ht="60" customHeight="1" x14ac:dyDescent="0.25">
      <c r="B99" s="59" t="s">
        <v>457</v>
      </c>
      <c r="C99" s="60" t="s">
        <v>458</v>
      </c>
      <c r="D99" s="61" t="s">
        <v>275</v>
      </c>
      <c r="E99" s="60" t="s">
        <v>459</v>
      </c>
    </row>
    <row r="100" spans="2:5" ht="60" customHeight="1" x14ac:dyDescent="0.25">
      <c r="B100" s="52" t="s">
        <v>460</v>
      </c>
      <c r="C100" s="53" t="s">
        <v>461</v>
      </c>
      <c r="D100" s="54" t="s">
        <v>82</v>
      </c>
      <c r="E100" s="53" t="s">
        <v>462</v>
      </c>
    </row>
  </sheetData>
  <mergeCells count="6">
    <mergeCell ref="B66:E66"/>
    <mergeCell ref="B1:E1"/>
    <mergeCell ref="B4:E4"/>
    <mergeCell ref="B51:E51"/>
    <mergeCell ref="B2:E2"/>
    <mergeCell ref="B42:E4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319"/>
  <sheetViews>
    <sheetView showGridLines="0" tabSelected="1" zoomScale="85" zoomScaleNormal="85" workbookViewId="0">
      <selection activeCell="D8" sqref="D8"/>
    </sheetView>
  </sheetViews>
  <sheetFormatPr defaultColWidth="9.1796875" defaultRowHeight="13" x14ac:dyDescent="0.3"/>
  <cols>
    <col min="1" max="1" width="1.453125" style="22" customWidth="1"/>
    <col min="2" max="2" width="15" style="22" bestFit="1" customWidth="1"/>
    <col min="3" max="3" width="68" style="22" customWidth="1"/>
    <col min="4" max="4" width="22" style="22" customWidth="1"/>
    <col min="5" max="5" width="28" style="22" customWidth="1"/>
    <col min="6" max="8" width="9.1796875" style="22" customWidth="1"/>
    <col min="9" max="16384" width="9.1796875" style="22"/>
  </cols>
  <sheetData>
    <row r="1" spans="1:5" ht="30" customHeight="1" thickBot="1" x14ac:dyDescent="0.4">
      <c r="A1" s="63"/>
      <c r="B1" s="64" t="s">
        <v>78</v>
      </c>
      <c r="C1" s="64" t="s">
        <v>1</v>
      </c>
      <c r="D1" s="64" t="s">
        <v>463</v>
      </c>
      <c r="E1" s="64" t="s">
        <v>464</v>
      </c>
    </row>
    <row r="2" spans="1:5" s="28" customFormat="1" ht="42" customHeight="1" thickBot="1" x14ac:dyDescent="0.5">
      <c r="A2" s="63"/>
      <c r="B2" s="65" t="s">
        <v>465</v>
      </c>
      <c r="C2" s="65" t="s">
        <v>466</v>
      </c>
      <c r="D2" s="66">
        <v>0</v>
      </c>
      <c r="E2" s="66">
        <v>0</v>
      </c>
    </row>
    <row r="3" spans="1:5" s="29" customFormat="1" ht="42" customHeight="1" x14ac:dyDescent="0.35">
      <c r="A3" s="63"/>
      <c r="B3" s="65" t="s">
        <v>467</v>
      </c>
      <c r="C3" s="65" t="s">
        <v>468</v>
      </c>
      <c r="D3" s="66">
        <v>0</v>
      </c>
      <c r="E3" s="66">
        <v>0</v>
      </c>
    </row>
    <row r="4" spans="1:5" s="29" customFormat="1" ht="42" customHeight="1" x14ac:dyDescent="0.35">
      <c r="A4" s="63"/>
      <c r="B4" s="65" t="s">
        <v>199</v>
      </c>
      <c r="C4" s="65" t="s">
        <v>469</v>
      </c>
      <c r="D4" s="66">
        <v>0</v>
      </c>
      <c r="E4" s="66">
        <v>6.4516129032258063E-2</v>
      </c>
    </row>
    <row r="5" spans="1:5" s="29" customFormat="1" ht="42" customHeight="1" x14ac:dyDescent="0.35">
      <c r="A5" s="63"/>
      <c r="B5" s="65" t="s">
        <v>186</v>
      </c>
      <c r="C5" s="65" t="s">
        <v>470</v>
      </c>
      <c r="D5" s="66">
        <v>0</v>
      </c>
      <c r="E5" s="66">
        <v>0.1182795698924731</v>
      </c>
    </row>
    <row r="6" spans="1:5" s="29" customFormat="1" ht="42" customHeight="1" x14ac:dyDescent="0.35">
      <c r="A6" s="63"/>
      <c r="B6" s="65" t="s">
        <v>82</v>
      </c>
      <c r="C6" s="65" t="s">
        <v>471</v>
      </c>
      <c r="D6" s="66">
        <v>0.92592592592592593</v>
      </c>
      <c r="E6" s="66">
        <v>0.67741935483870963</v>
      </c>
    </row>
    <row r="7" spans="1:5" s="29" customFormat="1" ht="42" customHeight="1" x14ac:dyDescent="0.35">
      <c r="A7" s="63"/>
      <c r="B7" s="65" t="s">
        <v>87</v>
      </c>
      <c r="C7" s="65" t="s">
        <v>472</v>
      </c>
      <c r="D7" s="66">
        <v>7.407407407407407E-2</v>
      </c>
      <c r="E7" s="66">
        <v>4.3010752688172053E-2</v>
      </c>
    </row>
    <row r="8" spans="1:5" s="29" customFormat="1" ht="42" customHeight="1" x14ac:dyDescent="0.35">
      <c r="A8" s="63"/>
      <c r="B8" s="65" t="s">
        <v>473</v>
      </c>
      <c r="C8" s="65" t="s">
        <v>474</v>
      </c>
      <c r="D8" s="66">
        <v>0</v>
      </c>
      <c r="E8" s="66">
        <v>0</v>
      </c>
    </row>
    <row r="9" spans="1:5" s="29" customFormat="1" ht="42" customHeight="1" x14ac:dyDescent="0.35">
      <c r="A9" s="63"/>
      <c r="B9" s="65" t="s">
        <v>475</v>
      </c>
      <c r="C9" s="65" t="s">
        <v>476</v>
      </c>
      <c r="D9" s="66">
        <v>0</v>
      </c>
      <c r="E9" s="66">
        <v>9.6774193548387094E-2</v>
      </c>
    </row>
    <row r="10" spans="1:5" s="29" customFormat="1" ht="22" customHeight="1" thickBot="1" x14ac:dyDescent="0.4">
      <c r="A10" s="63"/>
      <c r="B10" s="67"/>
      <c r="C10" s="68" t="s">
        <v>477</v>
      </c>
      <c r="D10" s="69">
        <v>1</v>
      </c>
      <c r="E10" s="69">
        <v>1</v>
      </c>
    </row>
    <row r="11" spans="1:5" s="29" customFormat="1" ht="14.5" customHeight="1" x14ac:dyDescent="0.35">
      <c r="A11" s="63"/>
      <c r="B11" s="63"/>
      <c r="C11" s="63"/>
      <c r="D11" s="63"/>
      <c r="E11" s="63"/>
    </row>
    <row r="12" spans="1:5" s="29" customFormat="1" ht="32.15" customHeight="1" x14ac:dyDescent="0.35">
      <c r="A12" s="63"/>
      <c r="B12" t="s">
        <v>478</v>
      </c>
      <c r="C12" s="70" t="s">
        <v>479</v>
      </c>
      <c r="D12" s="63"/>
      <c r="E12" s="63"/>
    </row>
    <row r="13" spans="1:5" s="29" customFormat="1" ht="14.5" customHeight="1" x14ac:dyDescent="0.35">
      <c r="A13" s="63"/>
      <c r="B13" s="63"/>
      <c r="C13" s="63"/>
      <c r="D13" s="63"/>
      <c r="E13" s="63"/>
    </row>
    <row r="14" spans="1:5" s="29" customFormat="1" ht="21" customHeight="1" x14ac:dyDescent="0.35">
      <c r="A14" s="63"/>
      <c r="B14" s="63"/>
      <c r="C14" s="63"/>
      <c r="D14" s="63"/>
      <c r="E14" s="63"/>
    </row>
    <row r="15" spans="1:5" s="29" customFormat="1" ht="21" customHeight="1" x14ac:dyDescent="0.35">
      <c r="A15" s="63"/>
      <c r="B15" s="63"/>
      <c r="C15" s="63"/>
      <c r="D15" s="63"/>
      <c r="E15" s="63"/>
    </row>
    <row r="16" spans="1:5" s="29" customFormat="1" ht="21" customHeight="1" x14ac:dyDescent="0.35">
      <c r="A16" s="63"/>
      <c r="B16" s="63"/>
      <c r="C16" s="63"/>
      <c r="D16" s="63"/>
      <c r="E16" s="63"/>
    </row>
    <row r="17" s="29" customFormat="1" x14ac:dyDescent="0.25"/>
    <row r="18" s="29" customFormat="1" x14ac:dyDescent="0.25"/>
    <row r="19" s="29" customFormat="1" x14ac:dyDescent="0.25"/>
    <row r="20" s="29" customFormat="1" x14ac:dyDescent="0.25"/>
    <row r="21" s="29" customFormat="1" x14ac:dyDescent="0.25"/>
    <row r="22" s="29" customFormat="1" x14ac:dyDescent="0.25"/>
    <row r="23" s="29" customFormat="1" x14ac:dyDescent="0.25"/>
    <row r="24" s="29" customFormat="1" x14ac:dyDescent="0.25"/>
    <row r="25" s="29" customFormat="1" x14ac:dyDescent="0.25"/>
    <row r="26" s="29" customFormat="1" x14ac:dyDescent="0.25"/>
    <row r="27" s="29" customFormat="1" x14ac:dyDescent="0.25"/>
    <row r="28" s="29" customFormat="1" x14ac:dyDescent="0.25"/>
    <row r="29" s="29" customFormat="1" x14ac:dyDescent="0.25"/>
    <row r="30" s="29" customFormat="1" x14ac:dyDescent="0.25"/>
    <row r="31" s="29" customFormat="1" x14ac:dyDescent="0.25"/>
    <row r="32" s="29" customFormat="1" x14ac:dyDescent="0.25"/>
    <row r="33" s="29" customFormat="1" x14ac:dyDescent="0.25"/>
    <row r="34" s="29" customFormat="1" x14ac:dyDescent="0.25"/>
    <row r="35" s="29" customFormat="1" x14ac:dyDescent="0.25"/>
    <row r="36" s="29" customFormat="1" x14ac:dyDescent="0.25"/>
    <row r="37" s="29" customFormat="1" x14ac:dyDescent="0.25"/>
    <row r="38" s="29" customFormat="1" x14ac:dyDescent="0.25"/>
    <row r="39" s="29" customFormat="1" x14ac:dyDescent="0.25"/>
    <row r="40" s="29" customFormat="1" x14ac:dyDescent="0.25"/>
    <row r="41" s="29" customFormat="1" x14ac:dyDescent="0.25"/>
    <row r="42" s="29" customFormat="1" x14ac:dyDescent="0.25"/>
    <row r="43" s="29" customFormat="1" x14ac:dyDescent="0.25"/>
    <row r="44" s="29" customFormat="1" x14ac:dyDescent="0.25"/>
    <row r="45" s="29" customFormat="1" x14ac:dyDescent="0.25"/>
    <row r="46" s="29" customFormat="1" x14ac:dyDescent="0.25"/>
    <row r="47" s="29" customFormat="1" x14ac:dyDescent="0.25"/>
    <row r="48" s="29" customFormat="1" x14ac:dyDescent="0.25"/>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row r="82" s="29" customFormat="1" x14ac:dyDescent="0.25"/>
    <row r="83" s="29" customFormat="1" x14ac:dyDescent="0.25"/>
    <row r="84" s="29" customFormat="1" x14ac:dyDescent="0.25"/>
    <row r="85" s="29" customFormat="1" x14ac:dyDescent="0.25"/>
    <row r="86" s="29" customFormat="1" x14ac:dyDescent="0.25"/>
    <row r="87" s="29" customFormat="1" x14ac:dyDescent="0.25"/>
    <row r="88" s="29" customFormat="1" x14ac:dyDescent="0.25"/>
    <row r="89" s="29" customFormat="1" x14ac:dyDescent="0.25"/>
    <row r="90" s="29" customFormat="1" x14ac:dyDescent="0.25"/>
    <row r="91" s="29" customFormat="1" x14ac:dyDescent="0.25"/>
    <row r="92" s="29" customFormat="1" x14ac:dyDescent="0.25"/>
    <row r="93" s="29" customFormat="1" x14ac:dyDescent="0.25"/>
    <row r="94" s="29" customFormat="1" x14ac:dyDescent="0.25"/>
    <row r="95" s="29" customFormat="1" x14ac:dyDescent="0.25"/>
    <row r="96" s="29" customFormat="1" x14ac:dyDescent="0.25"/>
    <row r="97" s="29" customFormat="1" x14ac:dyDescent="0.25"/>
    <row r="98" s="29" customFormat="1" x14ac:dyDescent="0.25"/>
    <row r="99" s="29" customFormat="1" x14ac:dyDescent="0.25"/>
    <row r="100" s="29" customFormat="1" x14ac:dyDescent="0.25"/>
    <row r="101" s="29" customFormat="1" x14ac:dyDescent="0.25"/>
    <row r="102" s="29" customFormat="1" x14ac:dyDescent="0.25"/>
    <row r="103" s="29" customFormat="1" x14ac:dyDescent="0.25"/>
    <row r="104" s="29" customFormat="1" x14ac:dyDescent="0.25"/>
    <row r="105" s="29" customFormat="1" x14ac:dyDescent="0.25"/>
    <row r="106" s="29" customFormat="1" x14ac:dyDescent="0.25"/>
    <row r="107" s="29" customFormat="1" x14ac:dyDescent="0.25"/>
    <row r="108" s="29" customFormat="1" x14ac:dyDescent="0.25"/>
    <row r="109" s="29" customFormat="1" x14ac:dyDescent="0.25"/>
    <row r="110" s="29" customFormat="1" x14ac:dyDescent="0.25"/>
    <row r="111" s="29" customFormat="1" x14ac:dyDescent="0.25"/>
    <row r="112" s="29" customFormat="1" x14ac:dyDescent="0.25"/>
    <row r="113" s="29" customFormat="1" x14ac:dyDescent="0.25"/>
    <row r="114" s="29" customFormat="1" x14ac:dyDescent="0.25"/>
    <row r="115" s="29" customFormat="1" x14ac:dyDescent="0.25"/>
    <row r="116" s="29" customFormat="1" x14ac:dyDescent="0.25"/>
    <row r="117" s="29" customFormat="1" x14ac:dyDescent="0.25"/>
    <row r="118" s="29" customFormat="1" x14ac:dyDescent="0.25"/>
    <row r="119" s="29" customFormat="1" x14ac:dyDescent="0.25"/>
    <row r="120" s="29" customFormat="1" x14ac:dyDescent="0.25"/>
    <row r="121" s="29" customFormat="1" x14ac:dyDescent="0.25"/>
    <row r="122" s="29" customFormat="1" x14ac:dyDescent="0.25"/>
    <row r="123" s="29" customFormat="1" x14ac:dyDescent="0.25"/>
    <row r="124" s="29" customFormat="1" x14ac:dyDescent="0.25"/>
    <row r="125" s="29" customFormat="1" x14ac:dyDescent="0.25"/>
    <row r="126" s="29" customFormat="1" x14ac:dyDescent="0.25"/>
    <row r="127" s="29" customFormat="1" x14ac:dyDescent="0.25"/>
    <row r="128" s="29" customFormat="1" x14ac:dyDescent="0.25"/>
    <row r="129" s="29" customFormat="1" x14ac:dyDescent="0.25"/>
    <row r="130" s="29" customFormat="1" x14ac:dyDescent="0.25"/>
    <row r="131" s="29" customFormat="1" x14ac:dyDescent="0.25"/>
    <row r="132" s="29" customFormat="1" x14ac:dyDescent="0.25"/>
    <row r="133" s="29" customFormat="1" x14ac:dyDescent="0.25"/>
    <row r="134" s="29" customFormat="1" x14ac:dyDescent="0.25"/>
    <row r="135" s="29" customFormat="1" x14ac:dyDescent="0.25"/>
    <row r="136" s="29" customFormat="1" x14ac:dyDescent="0.25"/>
    <row r="137" s="29" customFormat="1" x14ac:dyDescent="0.25"/>
    <row r="138" s="29" customFormat="1" x14ac:dyDescent="0.25"/>
    <row r="139" s="29" customFormat="1" x14ac:dyDescent="0.25"/>
    <row r="140" s="29" customFormat="1" x14ac:dyDescent="0.25"/>
    <row r="141" s="29" customFormat="1" x14ac:dyDescent="0.25"/>
    <row r="142" s="29" customFormat="1" x14ac:dyDescent="0.25"/>
    <row r="143" s="29" customFormat="1" x14ac:dyDescent="0.25"/>
    <row r="144" s="29" customFormat="1" x14ac:dyDescent="0.25"/>
    <row r="145" s="29" customFormat="1" x14ac:dyDescent="0.25"/>
    <row r="146" s="29" customFormat="1" x14ac:dyDescent="0.25"/>
    <row r="147" s="29" customFormat="1" x14ac:dyDescent="0.25"/>
    <row r="148" s="29" customFormat="1" x14ac:dyDescent="0.25"/>
    <row r="149" s="29" customFormat="1" x14ac:dyDescent="0.25"/>
    <row r="150" s="29" customFormat="1" x14ac:dyDescent="0.25"/>
    <row r="151" s="29" customFormat="1" x14ac:dyDescent="0.25"/>
    <row r="152" s="29" customFormat="1" x14ac:dyDescent="0.25"/>
    <row r="153" s="29" customFormat="1" x14ac:dyDescent="0.25"/>
    <row r="154" s="29" customFormat="1" x14ac:dyDescent="0.25"/>
    <row r="155" s="29" customFormat="1" x14ac:dyDescent="0.25"/>
    <row r="156" s="29" customFormat="1" x14ac:dyDescent="0.25"/>
    <row r="157" s="29" customFormat="1" x14ac:dyDescent="0.25"/>
    <row r="158" s="29" customFormat="1" x14ac:dyDescent="0.25"/>
    <row r="159" s="29" customFormat="1" x14ac:dyDescent="0.25"/>
    <row r="160" s="29" customFormat="1" x14ac:dyDescent="0.25"/>
    <row r="161" s="29" customFormat="1" x14ac:dyDescent="0.25"/>
    <row r="162" s="29" customFormat="1" x14ac:dyDescent="0.25"/>
    <row r="163" s="29" customFormat="1" x14ac:dyDescent="0.25"/>
    <row r="164" s="29" customFormat="1" x14ac:dyDescent="0.25"/>
    <row r="165" s="29" customFormat="1" x14ac:dyDescent="0.25"/>
    <row r="166" s="29" customFormat="1" x14ac:dyDescent="0.25"/>
    <row r="167" s="29" customFormat="1" x14ac:dyDescent="0.25"/>
    <row r="168" s="29" customFormat="1" x14ac:dyDescent="0.25"/>
    <row r="169" s="29" customFormat="1" x14ac:dyDescent="0.25"/>
    <row r="170" s="29" customFormat="1" x14ac:dyDescent="0.25"/>
    <row r="171" s="29" customFormat="1" x14ac:dyDescent="0.25"/>
    <row r="172" s="29" customFormat="1" x14ac:dyDescent="0.25"/>
    <row r="173" s="29" customFormat="1" x14ac:dyDescent="0.25"/>
    <row r="174" s="29" customFormat="1" x14ac:dyDescent="0.25"/>
    <row r="175" s="29" customFormat="1" x14ac:dyDescent="0.25"/>
    <row r="176" s="29" customFormat="1" x14ac:dyDescent="0.25"/>
    <row r="177" s="29" customFormat="1" x14ac:dyDescent="0.25"/>
    <row r="178" s="29" customFormat="1" x14ac:dyDescent="0.25"/>
    <row r="179" s="29" customFormat="1" x14ac:dyDescent="0.25"/>
    <row r="180" s="29" customFormat="1" x14ac:dyDescent="0.25"/>
    <row r="181" s="29" customFormat="1" x14ac:dyDescent="0.25"/>
    <row r="182" s="29" customFormat="1" x14ac:dyDescent="0.25"/>
    <row r="183" s="29" customFormat="1" x14ac:dyDescent="0.25"/>
    <row r="184" s="29" customFormat="1" x14ac:dyDescent="0.25"/>
    <row r="185" s="29" customFormat="1" x14ac:dyDescent="0.25"/>
    <row r="186" s="29" customFormat="1" x14ac:dyDescent="0.25"/>
    <row r="187" s="29" customFormat="1" x14ac:dyDescent="0.25"/>
    <row r="188" s="29" customFormat="1" x14ac:dyDescent="0.25"/>
    <row r="189" s="29" customFormat="1" x14ac:dyDescent="0.25"/>
    <row r="190" s="29" customFormat="1" x14ac:dyDescent="0.25"/>
    <row r="191" s="29" customFormat="1" x14ac:dyDescent="0.25"/>
    <row r="192" s="29" customFormat="1" x14ac:dyDescent="0.25"/>
    <row r="193" s="29" customFormat="1" x14ac:dyDescent="0.25"/>
    <row r="194" s="29" customFormat="1" x14ac:dyDescent="0.25"/>
    <row r="195" s="29" customFormat="1" x14ac:dyDescent="0.25"/>
    <row r="196" s="29" customFormat="1" x14ac:dyDescent="0.25"/>
    <row r="197" s="29" customFormat="1" x14ac:dyDescent="0.25"/>
    <row r="198" s="29" customFormat="1" x14ac:dyDescent="0.25"/>
    <row r="199" s="29" customFormat="1" x14ac:dyDescent="0.25"/>
    <row r="200" s="29" customFormat="1" x14ac:dyDescent="0.25"/>
    <row r="201" s="29" customFormat="1" x14ac:dyDescent="0.25"/>
    <row r="202" s="29" customFormat="1" x14ac:dyDescent="0.25"/>
    <row r="203" s="29" customFormat="1" x14ac:dyDescent="0.25"/>
    <row r="204" s="29" customFormat="1" x14ac:dyDescent="0.25"/>
    <row r="205" s="29" customFormat="1" x14ac:dyDescent="0.25"/>
    <row r="206" s="29" customFormat="1" x14ac:dyDescent="0.25"/>
    <row r="207" s="29" customFormat="1" x14ac:dyDescent="0.25"/>
    <row r="208" s="29" customFormat="1" x14ac:dyDescent="0.25"/>
    <row r="209" s="29" customFormat="1" x14ac:dyDescent="0.25"/>
    <row r="210" s="29" customFormat="1" x14ac:dyDescent="0.25"/>
    <row r="211" s="29" customFormat="1" x14ac:dyDescent="0.25"/>
    <row r="212" s="29" customFormat="1" x14ac:dyDescent="0.25"/>
    <row r="213" s="29" customFormat="1" x14ac:dyDescent="0.25"/>
    <row r="214" s="29" customFormat="1" x14ac:dyDescent="0.25"/>
    <row r="215" s="29" customFormat="1" x14ac:dyDescent="0.25"/>
    <row r="216" s="29" customFormat="1" x14ac:dyDescent="0.25"/>
    <row r="217" s="29" customFormat="1" x14ac:dyDescent="0.25"/>
    <row r="218" s="29" customFormat="1" x14ac:dyDescent="0.25"/>
    <row r="219" s="29" customFormat="1" x14ac:dyDescent="0.25"/>
    <row r="220" s="29" customFormat="1" x14ac:dyDescent="0.25"/>
    <row r="221" s="29" customFormat="1" x14ac:dyDescent="0.25"/>
    <row r="222" s="29" customFormat="1" x14ac:dyDescent="0.25"/>
    <row r="223" s="29" customFormat="1" x14ac:dyDescent="0.25"/>
    <row r="224" s="29" customFormat="1" x14ac:dyDescent="0.25"/>
    <row r="225" s="29" customFormat="1" x14ac:dyDescent="0.25"/>
    <row r="226" s="29" customFormat="1" x14ac:dyDescent="0.25"/>
    <row r="227" s="29" customFormat="1" x14ac:dyDescent="0.25"/>
    <row r="228" s="29" customFormat="1" x14ac:dyDescent="0.25"/>
    <row r="229" s="29" customFormat="1" x14ac:dyDescent="0.25"/>
    <row r="230" s="29" customFormat="1" x14ac:dyDescent="0.25"/>
    <row r="231" s="29" customFormat="1" x14ac:dyDescent="0.25"/>
    <row r="232" s="29" customFormat="1" x14ac:dyDescent="0.25"/>
    <row r="233" s="29" customFormat="1" x14ac:dyDescent="0.25"/>
    <row r="234" s="29" customFormat="1" x14ac:dyDescent="0.25"/>
    <row r="235" s="29" customFormat="1" x14ac:dyDescent="0.25"/>
    <row r="236" s="29" customFormat="1" x14ac:dyDescent="0.25"/>
    <row r="237" s="29" customFormat="1" x14ac:dyDescent="0.25"/>
    <row r="238" s="29" customFormat="1" x14ac:dyDescent="0.25"/>
    <row r="239" s="29" customFormat="1" x14ac:dyDescent="0.25"/>
    <row r="240" s="29" customFormat="1" x14ac:dyDescent="0.25"/>
    <row r="241" s="29" customFormat="1" x14ac:dyDescent="0.25"/>
    <row r="242" s="29" customFormat="1" x14ac:dyDescent="0.25"/>
    <row r="243" s="29" customFormat="1" x14ac:dyDescent="0.25"/>
    <row r="244" s="29" customFormat="1" x14ac:dyDescent="0.25"/>
    <row r="245" s="29" customFormat="1" x14ac:dyDescent="0.25"/>
    <row r="246" s="29" customFormat="1" x14ac:dyDescent="0.25"/>
    <row r="247" s="29" customFormat="1" x14ac:dyDescent="0.25"/>
    <row r="248" s="29" customFormat="1" x14ac:dyDescent="0.25"/>
    <row r="249" s="29" customFormat="1" x14ac:dyDescent="0.25"/>
    <row r="250" s="29" customFormat="1" x14ac:dyDescent="0.25"/>
    <row r="251" s="29" customFormat="1" x14ac:dyDescent="0.25"/>
    <row r="252" s="29" customFormat="1" x14ac:dyDescent="0.25"/>
    <row r="253" s="29" customFormat="1" x14ac:dyDescent="0.25"/>
    <row r="254" s="29" customFormat="1" x14ac:dyDescent="0.25"/>
    <row r="255" s="29" customFormat="1" x14ac:dyDescent="0.25"/>
    <row r="256" s="29" customFormat="1" x14ac:dyDescent="0.25"/>
    <row r="257" s="29" customFormat="1" x14ac:dyDescent="0.25"/>
    <row r="258" s="29" customFormat="1" x14ac:dyDescent="0.25"/>
    <row r="259" s="29" customFormat="1" x14ac:dyDescent="0.25"/>
    <row r="260" s="29" customFormat="1" x14ac:dyDescent="0.25"/>
    <row r="261" s="29" customFormat="1" x14ac:dyDescent="0.25"/>
    <row r="262" s="29" customFormat="1" x14ac:dyDescent="0.25"/>
    <row r="263" s="29" customFormat="1" x14ac:dyDescent="0.25"/>
    <row r="264" s="29" customFormat="1" x14ac:dyDescent="0.25"/>
    <row r="265" s="29" customFormat="1" x14ac:dyDescent="0.25"/>
    <row r="266" s="29" customFormat="1" x14ac:dyDescent="0.25"/>
    <row r="267" s="29" customFormat="1" x14ac:dyDescent="0.25"/>
    <row r="268" s="29" customFormat="1" x14ac:dyDescent="0.25"/>
    <row r="269" s="29" customFormat="1" x14ac:dyDescent="0.25"/>
    <row r="270" s="29" customFormat="1" x14ac:dyDescent="0.25"/>
    <row r="271" s="29" customFormat="1" x14ac:dyDescent="0.25"/>
    <row r="272" s="29" customFormat="1" x14ac:dyDescent="0.25"/>
    <row r="273" s="29" customFormat="1" x14ac:dyDescent="0.25"/>
    <row r="274" s="29" customFormat="1" x14ac:dyDescent="0.25"/>
    <row r="275" s="29" customFormat="1" x14ac:dyDescent="0.25"/>
    <row r="276" s="29" customFormat="1" x14ac:dyDescent="0.25"/>
    <row r="277" s="29" customFormat="1" x14ac:dyDescent="0.25"/>
    <row r="278" s="29" customFormat="1" x14ac:dyDescent="0.25"/>
    <row r="279" s="29" customFormat="1" x14ac:dyDescent="0.25"/>
    <row r="280" s="29" customFormat="1" x14ac:dyDescent="0.25"/>
    <row r="281" s="29" customFormat="1" x14ac:dyDescent="0.25"/>
    <row r="282" s="29" customFormat="1" x14ac:dyDescent="0.25"/>
    <row r="283" s="29" customFormat="1" x14ac:dyDescent="0.25"/>
    <row r="284" s="29" customFormat="1" x14ac:dyDescent="0.25"/>
    <row r="285" s="29" customFormat="1" x14ac:dyDescent="0.25"/>
    <row r="286" s="29" customFormat="1" x14ac:dyDescent="0.25"/>
    <row r="287" s="29" customFormat="1" x14ac:dyDescent="0.25"/>
    <row r="288" s="29" customFormat="1" x14ac:dyDescent="0.25"/>
    <row r="289" s="29" customFormat="1" x14ac:dyDescent="0.25"/>
    <row r="290" s="29" customFormat="1" x14ac:dyDescent="0.25"/>
    <row r="291" s="29" customFormat="1" x14ac:dyDescent="0.25"/>
    <row r="292" s="29" customFormat="1" x14ac:dyDescent="0.25"/>
    <row r="293" s="29" customFormat="1" x14ac:dyDescent="0.25"/>
    <row r="294" s="29" customFormat="1" x14ac:dyDescent="0.25"/>
    <row r="295" s="29" customFormat="1" x14ac:dyDescent="0.25"/>
    <row r="296" s="29" customFormat="1" x14ac:dyDescent="0.25"/>
    <row r="297" s="29" customFormat="1" x14ac:dyDescent="0.25"/>
    <row r="298" s="29" customFormat="1" x14ac:dyDescent="0.25"/>
    <row r="299" s="29" customFormat="1" x14ac:dyDescent="0.25"/>
    <row r="300" s="29" customFormat="1" x14ac:dyDescent="0.25"/>
    <row r="301" s="29" customFormat="1" x14ac:dyDescent="0.25"/>
    <row r="302" s="29" customFormat="1" x14ac:dyDescent="0.25"/>
    <row r="303" s="29" customFormat="1" x14ac:dyDescent="0.25"/>
    <row r="304" s="29" customFormat="1" x14ac:dyDescent="0.25"/>
    <row r="305" s="29" customFormat="1" x14ac:dyDescent="0.25"/>
    <row r="306" s="29" customFormat="1" x14ac:dyDescent="0.25"/>
    <row r="307" s="29" customFormat="1" x14ac:dyDescent="0.25"/>
    <row r="308" s="29" customFormat="1" x14ac:dyDescent="0.25"/>
    <row r="309" s="29" customFormat="1" x14ac:dyDescent="0.25"/>
    <row r="310" s="29" customFormat="1" x14ac:dyDescent="0.25"/>
    <row r="311" s="29" customFormat="1" x14ac:dyDescent="0.25"/>
    <row r="312" s="29" customFormat="1" x14ac:dyDescent="0.25"/>
    <row r="313" s="29" customFormat="1" x14ac:dyDescent="0.25"/>
    <row r="314" s="29" customFormat="1" x14ac:dyDescent="0.25"/>
    <row r="315" s="29" customFormat="1" x14ac:dyDescent="0.25"/>
    <row r="316" s="29" customFormat="1" x14ac:dyDescent="0.25"/>
    <row r="317" s="29" customFormat="1" x14ac:dyDescent="0.25"/>
    <row r="318" s="29" customFormat="1" x14ac:dyDescent="0.25"/>
    <row r="319" s="29" customFormat="1" x14ac:dyDescent="0.25"/>
  </sheetData>
  <dataValidations count="1">
    <dataValidation operator="equal" allowBlank="1" showInputMessage="1" showErrorMessage="1" promptTitle="Select Control Scope" sqref="B3" xr:uid="{00000000-0002-0000-0300-000000000000}">
      <formula1>0</formula1>
      <formula2>0</formula2>
    </dataValidation>
  </dataValidations>
  <pageMargins left="0.7" right="0.7" top="0.75" bottom="0.75" header="0.3" footer="0.3"/>
  <pageSetup paperSize="9" scale="54" orientation="portrait"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C30BA004239C428465A31958D78CC1" ma:contentTypeVersion="7" ma:contentTypeDescription="Create a new document." ma:contentTypeScope="" ma:versionID="013b595f5c1c06075abd1a6f2ae475d5">
  <xsd:schema xmlns:xsd="http://www.w3.org/2001/XMLSchema" xmlns:xs="http://www.w3.org/2001/XMLSchema" xmlns:p="http://schemas.microsoft.com/office/2006/metadata/properties" xmlns:ns2="cb674e27-74ff-4c20-b42a-5c33e0fe6ddf" targetNamespace="http://schemas.microsoft.com/office/2006/metadata/properties" ma:root="true" ma:fieldsID="51cf94f13ee2e030a7e079cbe85914ab" ns2:_="">
    <xsd:import namespace="cb674e27-74ff-4c20-b42a-5c33e0fe6d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674e27-74ff-4c20-b42a-5c33e0fe6d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A6632-D13F-4748-AB57-35EAE1ECC9E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783B750-6DE8-4D4D-93CA-8DEE0AFCC347}">
  <ds:schemaRefs>
    <ds:schemaRef ds:uri="http://schemas.microsoft.com/sharepoint/v3/contenttype/forms"/>
  </ds:schemaRefs>
</ds:datastoreItem>
</file>

<file path=customXml/itemProps3.xml><?xml version="1.0" encoding="utf-8"?>
<ds:datastoreItem xmlns:ds="http://schemas.openxmlformats.org/officeDocument/2006/customXml" ds:itemID="{FDDB31CB-A85D-4CDF-BC2E-6DF9B2A652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674e27-74ff-4c20-b42a-5c33e0fe6d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Intro &amp; copyright</vt:lpstr>
      <vt:lpstr>Abbreviations</vt:lpstr>
      <vt:lpstr>Mandatory ISMS requirements</vt:lpstr>
      <vt:lpstr>Annex A controls</vt:lpstr>
      <vt:lpstr>Metrics</vt:lpstr>
      <vt:lpstr>__xlnm._FilterDatabase_1</vt:lpstr>
      <vt:lpstr>Applicability</vt:lpstr>
      <vt:lpstr>ControlTotal</vt:lpstr>
      <vt:lpstr>'Mandatory ISMS requirements'!Excel_BuiltIn_Print_Area</vt:lpstr>
      <vt:lpstr>'Mandatory ISMS requirements'!Print_Area</vt:lpstr>
      <vt:lpstr>Metrics!Print_Area</vt:lpstr>
      <vt:lpstr>'Mandatory ISMS requirements'!Print_Titles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status and SoA</dc:title>
  <dc:subject>Information Security Management</dc:subject>
  <dc:creator>Gary@isect.com</dc:creator>
  <cp:keywords>ISO27k, ISMS</cp:keywords>
  <dc:description>Copyright © 2014 ISO27k Forum  See the embedded copyright notice</dc:description>
  <cp:lastModifiedBy>Vijay Nenavath (Student)</cp:lastModifiedBy>
  <dcterms:created xsi:type="dcterms:W3CDTF">2014-03-11T21:40:57Z</dcterms:created>
  <dcterms:modified xsi:type="dcterms:W3CDTF">2026-04-02T20:24:43Z</dcterms:modified>
  <cp:contentStatus>Part of the FREE ISO27k Toolkit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0x01010079C30BA004239C428465A31958D78CC1</vt:lpwstr>
  </property>
</Properties>
</file>